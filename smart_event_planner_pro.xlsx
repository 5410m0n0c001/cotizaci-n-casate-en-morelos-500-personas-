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💰 Presupuesto" sheetId="2" state="visible" r:id="rId4"/>
    <sheet name="📦 Catálogo" sheetId="3" state="visible" r:id="rId5"/>
    <sheet name="👥 Invitados" sheetId="4" state="visible" r:id="rId6"/>
    <sheet name="✅ Checklist" sheetId="5" state="visible" r:id="rId7"/>
    <sheet name="🎨 Diseño" sheetId="6" state="visible" r:id="rId8"/>
    <sheet name="💡 Cotizador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<sst xmlns="http://schemas.openxmlformats.org/spreadsheetml/2006/main" count="1011" uniqueCount="558">
  <si>
    <t xml:space="preserve">✨ SMART EVENT PLANNER PRO — Primavera Events Group</t>
  </si>
  <si>
    <t xml:space="preserve">Tu herramienta profesional de planeación de eventos</t>
  </si>
  <si>
    <t xml:space="preserve">⚙️ CONFIGURACIÓN DEL EVENTO</t>
  </si>
  <si>
    <t xml:space="preserve">Nombre del evento</t>
  </si>
  <si>
    <t xml:space="preserve">Boda Sofía &amp; Rodrigo</t>
  </si>
  <si>
    <t xml:space="preserve">⏳ Días para el evento:</t>
  </si>
  <si>
    <t xml:space="preserve">Tipo de evento</t>
  </si>
  <si>
    <t xml:space="preserve">Boda</t>
  </si>
  <si>
    <t xml:space="preserve">Fecha del evento</t>
  </si>
  <si>
    <t xml:space="preserve">días restantes</t>
  </si>
  <si>
    <t xml:space="preserve">Lugar</t>
  </si>
  <si>
    <t xml:space="preserve">Hacienda La Primavera, Morelos</t>
  </si>
  <si>
    <t xml:space="preserve">Número de invitados</t>
  </si>
  <si>
    <t xml:space="preserve">Presupuesto total ($MXN)</t>
  </si>
  <si>
    <t xml:space="preserve">💰 PRESUPUESTO GASTADO</t>
  </si>
  <si>
    <t xml:space="preserve">✅ TAREAS COMPLETADAS</t>
  </si>
  <si>
    <t xml:space="preserve">👥 INVITADOS CONFIRMADOS</t>
  </si>
  <si>
    <t xml:space="preserve">📦 SERVICIOS SELEC.</t>
  </si>
  <si>
    <t xml:space="preserve">💰 RESUMEN DE PRESUPUESTO</t>
  </si>
  <si>
    <t xml:space="preserve">⚠️ ALERTAS INTELIGENTES</t>
  </si>
  <si>
    <t xml:space="preserve">Presupuesto Total</t>
  </si>
  <si>
    <t xml:space="preserve">Total Estimado (Catálogo)</t>
  </si>
  <si>
    <t xml:space="preserve">Total Real (Gastado)</t>
  </si>
  <si>
    <t xml:space="preserve">Total Anticipos Pagados</t>
  </si>
  <si>
    <t xml:space="preserve">Saldo Pendiente</t>
  </si>
  <si>
    <t xml:space="preserve">Disponible (Presupuesto-Estimado)</t>
  </si>
  <si>
    <t xml:space="preserve">% Presupuesto Utilizado</t>
  </si>
  <si>
    <t xml:space="preserve">💰 PRESUPUESTO DEL EVENTO</t>
  </si>
  <si>
    <t xml:space="preserve">Gestiona costos estimados, reales y saldos pendientes</t>
  </si>
  <si>
    <t xml:space="preserve">N°</t>
  </si>
  <si>
    <t xml:space="preserve">Categoría</t>
  </si>
  <si>
    <t xml:space="preserve">Servicio / Proveedor</t>
  </si>
  <si>
    <t xml:space="preserve">Descripción</t>
  </si>
  <si>
    <t xml:space="preserve">Costo Estimado</t>
  </si>
  <si>
    <t xml:space="preserve">% del Total</t>
  </si>
  <si>
    <t xml:space="preserve">Costo Real</t>
  </si>
  <si>
    <t xml:space="preserve">Anticipo Pagado</t>
  </si>
  <si>
    <t xml:space="preserve">Estado</t>
  </si>
  <si>
    <t xml:space="preserve">Notas</t>
  </si>
  <si>
    <t xml:space="preserve">  🏛️ Locación &amp; Logística</t>
  </si>
  <si>
    <t xml:space="preserve">🏛️ Locación &amp; Logística</t>
  </si>
  <si>
    <t xml:space="preserve">Salón de eventos — Hacienda La Primavera</t>
  </si>
  <si>
    <t xml:space="preserve">Anticipo pagado</t>
  </si>
  <si>
    <t xml:space="preserve">Valet Parking — Staff Externo</t>
  </si>
  <si>
    <t xml:space="preserve">Generador eléctrico — Rentas López</t>
  </si>
  <si>
    <t xml:space="preserve">Pendiente</t>
  </si>
  <si>
    <t xml:space="preserve">Seguridad privada — SecureEvents</t>
  </si>
  <si>
    <t xml:space="preserve">Pagado</t>
  </si>
  <si>
    <t xml:space="preserve">  🍽️ Banquete &amp; Bebidas</t>
  </si>
  <si>
    <t xml:space="preserve">🍽️ Banquete &amp; Bebidas</t>
  </si>
  <si>
    <t xml:space="preserve">Banquete 3 tiempos — Catering Gourmet MX</t>
  </si>
  <si>
    <t xml:space="preserve">Pastel de bodas — Dulcería Arte</t>
  </si>
  <si>
    <t xml:space="preserve">Barra libre — Bar Móvil Premium</t>
  </si>
  <si>
    <t xml:space="preserve">Taquiza madrugada — Tacos El Compadre</t>
  </si>
  <si>
    <t xml:space="preserve">  🎧 Entretenimiento</t>
  </si>
  <si>
    <t xml:space="preserve">🎧 Entretenimiento</t>
  </si>
  <si>
    <t xml:space="preserve">DJ profesional — DJ Alex Beats</t>
  </si>
  <si>
    <t xml:space="preserve">Mariachi — Mariachi Sol de México</t>
  </si>
  <si>
    <t xml:space="preserve">Show sorpresa — Batucada Ritmo Vivo</t>
  </si>
  <si>
    <t xml:space="preserve">Maestro de ceremonias — MC Eventos Pro</t>
  </si>
  <si>
    <t xml:space="preserve">  📸 Foto &amp; Video</t>
  </si>
  <si>
    <t xml:space="preserve">📸 Foto &amp; Video</t>
  </si>
  <si>
    <t xml:space="preserve">Fotógrafo — Luis Mendoza Photography</t>
  </si>
  <si>
    <t xml:space="preserve">Videógrafo + Drone — Pixel Films</t>
  </si>
  <si>
    <t xml:space="preserve">Same Day Edit — Pixel Films</t>
  </si>
  <si>
    <t xml:space="preserve">  💄 Belleza &amp; Imagen</t>
  </si>
  <si>
    <t xml:space="preserve">💄 Belleza &amp; Imagen</t>
  </si>
  <si>
    <t xml:space="preserve">Maquillista — Glam Studio</t>
  </si>
  <si>
    <t xml:space="preserve">Peinadora / Estilista — Glam Studio</t>
  </si>
  <si>
    <t xml:space="preserve">Barbero (novio) — Barber Kings</t>
  </si>
  <si>
    <t xml:space="preserve">  👗 Vestuario</t>
  </si>
  <si>
    <t xml:space="preserve">👗 Vestuario</t>
  </si>
  <si>
    <t xml:space="preserve">Vestido de novia — Bridal House Cuernavaca</t>
  </si>
  <si>
    <t xml:space="preserve">Traje del novio — Fashion Men</t>
  </si>
  <si>
    <t xml:space="preserve">Vestidos de damas (5) — Boutique Elegance</t>
  </si>
  <si>
    <t xml:space="preserve">  💃 Coreografía &amp; Show</t>
  </si>
  <si>
    <t xml:space="preserve">💃 Coreografía &amp; Show</t>
  </si>
  <si>
    <t xml:space="preserve">Coreógrafo — Dance Academy Pro</t>
  </si>
  <si>
    <t xml:space="preserve">Clases de baile (10 sesiones) — Dance Academy Pro</t>
  </si>
  <si>
    <t xml:space="preserve">  🌸 Decoración &amp; Diseño</t>
  </si>
  <si>
    <t xml:space="preserve">🌸 Decoración &amp; Diseño</t>
  </si>
  <si>
    <t xml:space="preserve">Decorador principal — Deco Dreams</t>
  </si>
  <si>
    <t xml:space="preserve">Arreglos florales — Floral Art Studio</t>
  </si>
  <si>
    <t xml:space="preserve">Iluminación ambiental — Luz &amp; Ambiente</t>
  </si>
  <si>
    <t xml:space="preserve">Mantelería y vajilla — Rentas Elegance</t>
  </si>
  <si>
    <t xml:space="preserve">  💌 Papelería &amp; Diseño</t>
  </si>
  <si>
    <t xml:space="preserve">💌 Papelería &amp; Diseño</t>
  </si>
  <si>
    <t xml:space="preserve">Invitaciones físicas (200) — Imprenta Creativa</t>
  </si>
  <si>
    <t xml:space="preserve">Invitaciones digitales — Design Studio</t>
  </si>
  <si>
    <t xml:space="preserve">Señalética del evento — Design Studio</t>
  </si>
  <si>
    <t xml:space="preserve">  🚗 Transporte</t>
  </si>
  <si>
    <t xml:space="preserve">🚗 Transporte</t>
  </si>
  <si>
    <t xml:space="preserve">Transporte invitados (2 vans) — Trans VIP</t>
  </si>
  <si>
    <t xml:space="preserve">Limusina novios — Limo Service MX</t>
  </si>
  <si>
    <t xml:space="preserve">  🧑 Staff Operativo</t>
  </si>
  <si>
    <t xml:space="preserve">🧑 Staff Operativo</t>
  </si>
  <si>
    <t xml:space="preserve">Meseros (10) — Staff Events</t>
  </si>
  <si>
    <t xml:space="preserve">Hostess (4) — Staff Events</t>
  </si>
  <si>
    <t xml:space="preserve">Coordinador día del evento — Primavera Events Group</t>
  </si>
  <si>
    <t xml:space="preserve">  🎁 Experiencia &amp; Extras</t>
  </si>
  <si>
    <t xml:space="preserve">🎁 Experiencia &amp; Extras</t>
  </si>
  <si>
    <t xml:space="preserve">Souvenirs (150) — Recuerdos MX</t>
  </si>
  <si>
    <t xml:space="preserve">Letras gigantes LED — Deco Dreams</t>
  </si>
  <si>
    <t xml:space="preserve">Fuegos artificiales fríos — Pirotecnia Arte</t>
  </si>
  <si>
    <t xml:space="preserve">  🧾 Administrativo</t>
  </si>
  <si>
    <t xml:space="preserve">🧾 Administrativo</t>
  </si>
  <si>
    <t xml:space="preserve">Seguro del evento — Seguros Eventos</t>
  </si>
  <si>
    <t xml:space="preserve">Gastos imprevistos — —</t>
  </si>
  <si>
    <t xml:space="preserve">TOTALES GENERALES</t>
  </si>
  <si>
    <t xml:space="preserve">📦 CATÁLOGO COMPLETO DE SERVICIOS</t>
  </si>
  <si>
    <t xml:space="preserve">Selecciona los servicios — se reflejarán en el presupuesto automáticamente</t>
  </si>
  <si>
    <t xml:space="preserve">Servicio</t>
  </si>
  <si>
    <t xml:space="preserve">Costo Est. ($)</t>
  </si>
  <si>
    <t xml:space="preserve">Prioridad</t>
  </si>
  <si>
    <t xml:space="preserve">Seleccionado</t>
  </si>
  <si>
    <t xml:space="preserve">Salón de eventos</t>
  </si>
  <si>
    <t xml:space="preserve">Espacio cerrado con clima y equipamiento</t>
  </si>
  <si>
    <t xml:space="preserve">Alta</t>
  </si>
  <si>
    <t xml:space="preserve">—</t>
  </si>
  <si>
    <t xml:space="preserve">Jardín / Hacienda</t>
  </si>
  <si>
    <t xml:space="preserve">Espacio abierto o semi-abierto</t>
  </si>
  <si>
    <t xml:space="preserve">Terraza</t>
  </si>
  <si>
    <t xml:space="preserve">Vista panorámica y ambiente al aire libre</t>
  </si>
  <si>
    <t xml:space="preserve">Media</t>
  </si>
  <si>
    <t xml:space="preserve">Permisos municipales</t>
  </si>
  <si>
    <t xml:space="preserve">Trámites legales para el evento</t>
  </si>
  <si>
    <t xml:space="preserve">Planta de luz / Generador</t>
  </si>
  <si>
    <t xml:space="preserve">Respaldo eléctrico garantizado</t>
  </si>
  <si>
    <t xml:space="preserve">Sanitarios móviles</t>
  </si>
  <si>
    <t xml:space="preserve">Para eventos en espacios abiertos</t>
  </si>
  <si>
    <t xml:space="preserve">Estacionamiento / Valet parking</t>
  </si>
  <si>
    <t xml:space="preserve">Servicio de estacionamiento para invitados</t>
  </si>
  <si>
    <t xml:space="preserve">Seguridad privada</t>
  </si>
  <si>
    <t xml:space="preserve">Personal de seguridad certificado</t>
  </si>
  <si>
    <t xml:space="preserve">Protección civil</t>
  </si>
  <si>
    <t xml:space="preserve">Requerido en eventos +100 personas</t>
  </si>
  <si>
    <t xml:space="preserve">Banquete 3 tiempos</t>
  </si>
  <si>
    <t xml:space="preserve">Entrada, plato fuerte y postre por persona</t>
  </si>
  <si>
    <t xml:space="preserve">Buffet</t>
  </si>
  <si>
    <t xml:space="preserve">Variedad de platillos a libre servicio</t>
  </si>
  <si>
    <t xml:space="preserve">Taquiza</t>
  </si>
  <si>
    <t xml:space="preserve">Servicio de tacos variados</t>
  </si>
  <si>
    <t xml:space="preserve">Mesa de postres</t>
  </si>
  <si>
    <t xml:space="preserve">Variedad de dulces y postres artesanales</t>
  </si>
  <si>
    <t xml:space="preserve">Pastel de bodas/XV</t>
  </si>
  <si>
    <t xml:space="preserve">Pastel temático o tradicional</t>
  </si>
  <si>
    <t xml:space="preserve">Candy bar</t>
  </si>
  <si>
    <t xml:space="preserve">Barra de dulces decorativa</t>
  </si>
  <si>
    <t xml:space="preserve">Barra libre</t>
  </si>
  <si>
    <t xml:space="preserve">Bebidas ilimitadas durante el evento</t>
  </si>
  <si>
    <t xml:space="preserve">Mixología</t>
  </si>
  <si>
    <t xml:space="preserve">Cócteles artesanales y presentaciones especiales</t>
  </si>
  <si>
    <t xml:space="preserve">Coffee break</t>
  </si>
  <si>
    <t xml:space="preserve">Café, té e infusiones durante el evento</t>
  </si>
  <si>
    <t xml:space="preserve">Baja</t>
  </si>
  <si>
    <t xml:space="preserve">Tornaboda</t>
  </si>
  <si>
    <t xml:space="preserve">Antojitos nocturnos al cierre del evento</t>
  </si>
  <si>
    <t xml:space="preserve">DJ profesional</t>
  </si>
  <si>
    <t xml:space="preserve">Música de fondo y pista de baile</t>
  </si>
  <si>
    <t xml:space="preserve">Grupo musical en vivo</t>
  </si>
  <si>
    <t xml:space="preserve">Banda o grupo en vivo durante la cena</t>
  </si>
  <si>
    <t xml:space="preserve">Mariachi</t>
  </si>
  <si>
    <t xml:space="preserve">Serenata y repertorio tradicional</t>
  </si>
  <si>
    <t xml:space="preserve">Saxofonista</t>
  </si>
  <si>
    <t xml:space="preserve">Música ambient de fondo</t>
  </si>
  <si>
    <t xml:space="preserve">Violinista</t>
  </si>
  <si>
    <t xml:space="preserve">Música clásica para ceremonia o cena</t>
  </si>
  <si>
    <t xml:space="preserve">Batucada</t>
  </si>
  <si>
    <t xml:space="preserve">Show de percusión y energía</t>
  </si>
  <si>
    <t xml:space="preserve">Show sorpresa</t>
  </si>
  <si>
    <t xml:space="preserve">Actuación o número especial</t>
  </si>
  <si>
    <t xml:space="preserve">Maestro de ceremonias</t>
  </si>
  <si>
    <t xml:space="preserve">Conductor del evento y dinámica general</t>
  </si>
  <si>
    <t xml:space="preserve">Cabina de fotos</t>
  </si>
  <si>
    <t xml:space="preserve">Impresión instantánea de recuerdos</t>
  </si>
  <si>
    <t xml:space="preserve">Espejo mágico</t>
  </si>
  <si>
    <t xml:space="preserve">Fotos interactivas con efectos digitales</t>
  </si>
  <si>
    <t xml:space="preserve">Pista LED</t>
  </si>
  <si>
    <t xml:space="preserve">Pista de baile iluminada</t>
  </si>
  <si>
    <t xml:space="preserve">Robot LED / Show neón</t>
  </si>
  <si>
    <t xml:space="preserve">Performance visual de impacto</t>
  </si>
  <si>
    <t xml:space="preserve">Fotógrafo profesional</t>
  </si>
  <si>
    <t xml:space="preserve">Cobertura completa del evento</t>
  </si>
  <si>
    <t xml:space="preserve">Videógrafo</t>
  </si>
  <si>
    <t xml:space="preserve">Video cinematográfico del evento</t>
  </si>
  <si>
    <t xml:space="preserve">Drone</t>
  </si>
  <si>
    <t xml:space="preserve">Tomas aéreas del evento y locación</t>
  </si>
  <si>
    <t xml:space="preserve">Same Day Edit</t>
  </si>
  <si>
    <t xml:space="preserve">Video editado el mismo día del evento</t>
  </si>
  <si>
    <t xml:space="preserve">Sesión pre-evento</t>
  </si>
  <si>
    <t xml:space="preserve">Fotos de preparativos y getting ready</t>
  </si>
  <si>
    <t xml:space="preserve">Álbum impreso</t>
  </si>
  <si>
    <t xml:space="preserve">Álbum de fotos profesional personalizado</t>
  </si>
  <si>
    <t xml:space="preserve">Maquillista</t>
  </si>
  <si>
    <t xml:space="preserve">Maquillaje profesional para la quinceañera/novia</t>
  </si>
  <si>
    <t xml:space="preserve">Peinador / Estilista</t>
  </si>
  <si>
    <t xml:space="preserve">Peinado profesional y acabados</t>
  </si>
  <si>
    <t xml:space="preserve">Barbero (novio)</t>
  </si>
  <si>
    <t xml:space="preserve">Arreglo profesional para el novio</t>
  </si>
  <si>
    <t xml:space="preserve">Spa / Tratamientos previos</t>
  </si>
  <si>
    <t xml:space="preserve">Relajación y cuidado pre-evento</t>
  </si>
  <si>
    <t xml:space="preserve">Prueba de maquillaje</t>
  </si>
  <si>
    <t xml:space="preserve">Sesión de prueba anticipada</t>
  </si>
  <si>
    <t xml:space="preserve">Vestido de novia / XV</t>
  </si>
  <si>
    <t xml:space="preserve">Vestido principal del evento</t>
  </si>
  <si>
    <t xml:space="preserve">Traje del novio</t>
  </si>
  <si>
    <t xml:space="preserve">Traje sastre o smoking</t>
  </si>
  <si>
    <t xml:space="preserve">Vestidos de damas</t>
  </si>
  <si>
    <t xml:space="preserve">Conjunto de vestidos del chambelanes/damas</t>
  </si>
  <si>
    <t xml:space="preserve">Renta de smoking</t>
  </si>
  <si>
    <t xml:space="preserve">Smoking para el padre o chambelanes</t>
  </si>
  <si>
    <t xml:space="preserve">Accesorios (velo, tiara, etc.)</t>
  </si>
  <si>
    <t xml:space="preserve">Complementos del vestuario</t>
  </si>
  <si>
    <t xml:space="preserve">Zapatos</t>
  </si>
  <si>
    <t xml:space="preserve">Calzado especial para el evento</t>
  </si>
  <si>
    <t xml:space="preserve">Joyería</t>
  </si>
  <si>
    <t xml:space="preserve">Aretes, collar, brazalete</t>
  </si>
  <si>
    <t xml:space="preserve">Coreógrafo profesional</t>
  </si>
  <si>
    <t xml:space="preserve">Diseño y dirección de baile</t>
  </si>
  <si>
    <t xml:space="preserve">Clases de baile</t>
  </si>
  <si>
    <t xml:space="preserve">Sesiones de ensayo para el vals/vals sorpresa</t>
  </si>
  <si>
    <t xml:space="preserve">Ensayos grupales</t>
  </si>
  <si>
    <t xml:space="preserve">Coordinación con chambelanes o pareja</t>
  </si>
  <si>
    <t xml:space="preserve">Bailarines profesionales</t>
  </si>
  <si>
    <t xml:space="preserve">Performance de apertura o cierre</t>
  </si>
  <si>
    <t xml:space="preserve">Performance especial</t>
  </si>
  <si>
    <t xml:space="preserve">Número artístico personalizado</t>
  </si>
  <si>
    <t xml:space="preserve">Wedding / Event Planner</t>
  </si>
  <si>
    <t xml:space="preserve">Coordinación integral del evento</t>
  </si>
  <si>
    <t xml:space="preserve">Decorador principal</t>
  </si>
  <si>
    <t xml:space="preserve">Montaje y concepto visual completo</t>
  </si>
  <si>
    <t xml:space="preserve">Diseño floral</t>
  </si>
  <si>
    <t xml:space="preserve">Flores frescas: ramos, centros, altar</t>
  </si>
  <si>
    <t xml:space="preserve">Centros de mesa</t>
  </si>
  <si>
    <t xml:space="preserve">Arreglos para cada mesa de invitados</t>
  </si>
  <si>
    <t xml:space="preserve">Backdrop / Altar</t>
  </si>
  <si>
    <t xml:space="preserve">Escenario principal o altar de ceremonia</t>
  </si>
  <si>
    <t xml:space="preserve">Iluminación ambiental</t>
  </si>
  <si>
    <t xml:space="preserve">Luces decorativas, velas y LED</t>
  </si>
  <si>
    <t xml:space="preserve">Mobiliario (mesas, sillas, lounges)</t>
  </si>
  <si>
    <t xml:space="preserve">Renta de muebles temáticos</t>
  </si>
  <si>
    <t xml:space="preserve">Mantelería premium</t>
  </si>
  <si>
    <t xml:space="preserve">Manteles, servilletas y faldones</t>
  </si>
  <si>
    <t xml:space="preserve">Vajilla especial</t>
  </si>
  <si>
    <t xml:space="preserve">Vajilla exclusiva o de diseño</t>
  </si>
  <si>
    <t xml:space="preserve">Cristalería</t>
  </si>
  <si>
    <t xml:space="preserve">Copas y vasos de cristal premium</t>
  </si>
  <si>
    <t xml:space="preserve">  💡 Producción &amp; Montaje</t>
  </si>
  <si>
    <t xml:space="preserve">💡 Producción &amp; Montaje</t>
  </si>
  <si>
    <t xml:space="preserve">Iluminación arquitectónica</t>
  </si>
  <si>
    <t xml:space="preserve">Iluminación profesional de la locación</t>
  </si>
  <si>
    <t xml:space="preserve">Audio profesional</t>
  </si>
  <si>
    <t xml:space="preserve">Sistema de sonido para todo el evento</t>
  </si>
  <si>
    <t xml:space="preserve">Pantallas LED</t>
  </si>
  <si>
    <t xml:space="preserve">Proyección de video y presentaciones</t>
  </si>
  <si>
    <t xml:space="preserve">Proyector</t>
  </si>
  <si>
    <t xml:space="preserve">Proyector para presentaciones o fotos</t>
  </si>
  <si>
    <t xml:space="preserve">Estructuras / escenarios</t>
  </si>
  <si>
    <t xml:space="preserve">Tarimas y estructuras especiales</t>
  </si>
  <si>
    <t xml:space="preserve">  💌 Papelería &amp; Diseño Gráfico</t>
  </si>
  <si>
    <t xml:space="preserve">💌 Papelería &amp; Diseño Gráfico</t>
  </si>
  <si>
    <t xml:space="preserve">Invitaciones físicas</t>
  </si>
  <si>
    <t xml:space="preserve">Invitaciones impresas personalizadas</t>
  </si>
  <si>
    <t xml:space="preserve">Invitaciones digitales</t>
  </si>
  <si>
    <t xml:space="preserve">Invitaciones con animación para WhatsApp</t>
  </si>
  <si>
    <t xml:space="preserve">Save the date</t>
  </si>
  <si>
    <t xml:space="preserve">Tarjeta anticipada de la fecha</t>
  </si>
  <si>
    <t xml:space="preserve">Menús impresos</t>
  </si>
  <si>
    <t xml:space="preserve">Menú del banquete por persona</t>
  </si>
  <si>
    <t xml:space="preserve">Números y nombres de mesa</t>
  </si>
  <si>
    <t xml:space="preserve">Señalética de mesas</t>
  </si>
  <si>
    <t xml:space="preserve">600</t>
  </si>
  <si>
    <t xml:space="preserve">Señalética del evento</t>
  </si>
  <si>
    <t xml:space="preserve">Guías, rótulos y señales decorativas</t>
  </si>
  <si>
    <t xml:space="preserve">Branding del evento</t>
  </si>
  <si>
    <t xml:space="preserve">Identidad visual completa del evento</t>
  </si>
  <si>
    <t xml:space="preserve">Transporte de invitados</t>
  </si>
  <si>
    <t xml:space="preserve">Vans o autobuses para traslados</t>
  </si>
  <si>
    <t xml:space="preserve">Limusina para novios</t>
  </si>
  <si>
    <t xml:space="preserve">Traslado especial de los novios</t>
  </si>
  <si>
    <t xml:space="preserve">Auto clásico / decorado</t>
  </si>
  <si>
    <t xml:space="preserve">Vehículo especial para la quinceañera</t>
  </si>
  <si>
    <t xml:space="preserve">Autobuses (distancias largas)</t>
  </si>
  <si>
    <t xml:space="preserve">Para invitados foráneos</t>
  </si>
  <si>
    <t xml:space="preserve">Coordinador día del evento</t>
  </si>
  <si>
    <t xml:space="preserve">Supervisión total durante el evento</t>
  </si>
  <si>
    <t xml:space="preserve">Hostess de bienvenida</t>
  </si>
  <si>
    <t xml:space="preserve">Recepción y guía de invitados</t>
  </si>
  <si>
    <t xml:space="preserve">Meseros profesionales</t>
  </si>
  <si>
    <t xml:space="preserve">Servicio de mesa durante el banquete</t>
  </si>
  <si>
    <t xml:space="preserve">Capitán de meseros</t>
  </si>
  <si>
    <t xml:space="preserve">Supervisión del servicio de alimentos</t>
  </si>
  <si>
    <t xml:space="preserve">Personal de limpieza</t>
  </si>
  <si>
    <t xml:space="preserve">Mantenimiento durante el evento</t>
  </si>
  <si>
    <t xml:space="preserve">Seguridad del evento</t>
  </si>
  <si>
    <t xml:space="preserve">Vigilancia y control de acceso</t>
  </si>
  <si>
    <t xml:space="preserve">Recuerdos / Souvenirs</t>
  </si>
  <si>
    <t xml:space="preserve">Detalles personalizados para invitados</t>
  </si>
  <si>
    <t xml:space="preserve">Kits de bienvenida</t>
  </si>
  <si>
    <t xml:space="preserve">Bolsas o cajitas de bienvenida</t>
  </si>
  <si>
    <t xml:space="preserve">Área infantil / Niñeras</t>
  </si>
  <si>
    <t xml:space="preserve">Espacio y cuidado para niños</t>
  </si>
  <si>
    <t xml:space="preserve">Fuegos artificiales</t>
  </si>
  <si>
    <t xml:space="preserve">Show pirotécnico exterior</t>
  </si>
  <si>
    <t xml:space="preserve">Show pirotécnico frío</t>
  </si>
  <si>
    <t xml:space="preserve">Cascadas de luz para interiores</t>
  </si>
  <si>
    <t xml:space="preserve">Letras gigantes LED</t>
  </si>
  <si>
    <t xml:space="preserve">Letras decorativas iluminadas</t>
  </si>
  <si>
    <t xml:space="preserve">Comfort zone</t>
  </si>
  <si>
    <t xml:space="preserve">Pantuflas, aspirinas y kit de emergencia</t>
  </si>
  <si>
    <t xml:space="preserve">  🧾 Servicios Administrativos</t>
  </si>
  <si>
    <t xml:space="preserve">🧾 Servicios Administrativos</t>
  </si>
  <si>
    <t xml:space="preserve">Seguro del evento</t>
  </si>
  <si>
    <t xml:space="preserve">Cobertura contra imprevistos</t>
  </si>
  <si>
    <t xml:space="preserve">Contratos y gestión legal</t>
  </si>
  <si>
    <t xml:space="preserve">Elaboración de contratos con proveedores</t>
  </si>
  <si>
    <t xml:space="preserve">Control de pagos</t>
  </si>
  <si>
    <t xml:space="preserve">Administración de pagos y comprobantes</t>
  </si>
  <si>
    <t xml:space="preserve">Gestión integral de proveedores</t>
  </si>
  <si>
    <t xml:space="preserve">Coordinación con todos los proveedores</t>
  </si>
  <si>
    <t xml:space="preserve">TOTAL SERVICIOS SELECCIONADOS (97 servicios disponibles)</t>
  </si>
  <si>
    <t xml:space="preserve">👥 LISTA DE INVITADOS</t>
  </si>
  <si>
    <t xml:space="preserve">Gestiona confirmaciones, mesas y restricciones alimenticias</t>
  </si>
  <si>
    <t xml:space="preserve">Total invitados esperados:</t>
  </si>
  <si>
    <t xml:space="preserve">✅ Confirmados:</t>
  </si>
  <si>
    <t xml:space="preserve">⏳ Pendientes:</t>
  </si>
  <si>
    <t xml:space="preserve">❌ No asistirán:</t>
  </si>
  <si>
    <t xml:space="preserve">👥 Total personas:</t>
  </si>
  <si>
    <t xml:space="preserve">Nombre completo</t>
  </si>
  <si>
    <t xml:space="preserve">Familia / Grupo</t>
  </si>
  <si>
    <t xml:space="preserve">Confirmación</t>
  </si>
  <si>
    <t xml:space="preserve">Acompañantes</t>
  </si>
  <si>
    <t xml:space="preserve">Total personas</t>
  </si>
  <si>
    <t xml:space="preserve">Mesa asignada</t>
  </si>
  <si>
    <t xml:space="preserve">Restricción alimenticia</t>
  </si>
  <si>
    <t xml:space="preserve">Teléfono</t>
  </si>
  <si>
    <t xml:space="preserve">García Martínez</t>
  </si>
  <si>
    <t xml:space="preserve">Familia García</t>
  </si>
  <si>
    <t xml:space="preserve">Sí</t>
  </si>
  <si>
    <t xml:space="preserve">Mesa 1</t>
  </si>
  <si>
    <t xml:space="preserve">Ninguna</t>
  </si>
  <si>
    <t xml:space="preserve">55-1234-5678</t>
  </si>
  <si>
    <t xml:space="preserve">López Hernández</t>
  </si>
  <si>
    <t xml:space="preserve">Amigos novio</t>
  </si>
  <si>
    <t xml:space="preserve">Mesa 2</t>
  </si>
  <si>
    <t xml:space="preserve">Vegetariano</t>
  </si>
  <si>
    <t xml:space="preserve">55-2345-6789</t>
  </si>
  <si>
    <t xml:space="preserve">Rodríguez Pérez</t>
  </si>
  <si>
    <t xml:space="preserve">Familia novia</t>
  </si>
  <si>
    <t xml:space="preserve">55-3456-7890</t>
  </si>
  <si>
    <t xml:space="preserve">Martínez González</t>
  </si>
  <si>
    <t xml:space="preserve">Trabajo</t>
  </si>
  <si>
    <t xml:space="preserve">Mesa 3</t>
  </si>
  <si>
    <t xml:space="preserve">Celiaco</t>
  </si>
  <si>
    <t xml:space="preserve">55-4567-8901</t>
  </si>
  <si>
    <t xml:space="preserve">Sánchez Torres</t>
  </si>
  <si>
    <t xml:space="preserve">Amigos novia</t>
  </si>
  <si>
    <t xml:space="preserve">No</t>
  </si>
  <si>
    <t xml:space="preserve">55-5678-9012</t>
  </si>
  <si>
    <t xml:space="preserve">Jiménez Flores</t>
  </si>
  <si>
    <t xml:space="preserve">Alérgico mariscos</t>
  </si>
  <si>
    <t xml:space="preserve">55-6789-0123</t>
  </si>
  <si>
    <t xml:space="preserve">Morales Ruiz</t>
  </si>
  <si>
    <t xml:space="preserve">55-7890-1234</t>
  </si>
  <si>
    <t xml:space="preserve">Hernández Cruz</t>
  </si>
  <si>
    <t xml:space="preserve">Trabajo novia</t>
  </si>
  <si>
    <t xml:space="preserve">Mesa 4</t>
  </si>
  <si>
    <t xml:space="preserve">55-8901-2345</t>
  </si>
  <si>
    <t xml:space="preserve">Vázquez Díaz</t>
  </si>
  <si>
    <t xml:space="preserve">55-9012-3456</t>
  </si>
  <si>
    <t xml:space="preserve">Reyes Moreno</t>
  </si>
  <si>
    <t xml:space="preserve">Amigos</t>
  </si>
  <si>
    <t xml:space="preserve">55-0123-4567</t>
  </si>
  <si>
    <t xml:space="preserve">✅ CHECKLIST POR FASES</t>
  </si>
  <si>
    <t xml:space="preserve">Tareas organizadas por etapa — marca ✓ cuando completes cada una</t>
  </si>
  <si>
    <t xml:space="preserve">📊 PROGRESO GENERAL</t>
  </si>
  <si>
    <t xml:space="preserve">Tarea</t>
  </si>
  <si>
    <t xml:space="preserve">Responsable</t>
  </si>
  <si>
    <t xml:space="preserve">Fecha Límite</t>
  </si>
  <si>
    <t xml:space="preserve">Completado</t>
  </si>
  <si>
    <t xml:space="preserve">  📅 FASE 1: 12-6 MESES ANTES DEL EVENTO</t>
  </si>
  <si>
    <t xml:space="preserve">Definir presupuesto total del evento</t>
  </si>
  <si>
    <t xml:space="preserve">Novios/Familia</t>
  </si>
  <si>
    <t xml:space="preserve">12 meses antes</t>
  </si>
  <si>
    <t xml:space="preserve">✓</t>
  </si>
  <si>
    <t xml:space="preserve">Elegir y reservar la locación/salón</t>
  </si>
  <si>
    <t xml:space="preserve">Novios + Planner</t>
  </si>
  <si>
    <t xml:space="preserve">Contratar wedding planner</t>
  </si>
  <si>
    <t xml:space="preserve">Novios</t>
  </si>
  <si>
    <t xml:space="preserve">11 meses antes</t>
  </si>
  <si>
    <t xml:space="preserve">Establecer lista preliminar de invitados</t>
  </si>
  <si>
    <t xml:space="preserve">Familia</t>
  </si>
  <si>
    <t xml:space="preserve">10 meses antes</t>
  </si>
  <si>
    <t xml:space="preserve">Elegir fecha y hora del evento</t>
  </si>
  <si>
    <t xml:space="preserve">Definir tema y paleta de colores</t>
  </si>
  <si>
    <t xml:space="preserve">Novios + Decorador</t>
  </si>
  <si>
    <t xml:space="preserve">Contratar fotógrafo y videógrafo</t>
  </si>
  <si>
    <t xml:space="preserve">Planner</t>
  </si>
  <si>
    <t xml:space="preserve">9 meses antes</t>
  </si>
  <si>
    <t xml:space="preserve">Elegir y reservar banquete/catering</t>
  </si>
  <si>
    <t xml:space="preserve">Seleccionar tipo de entretenimiento</t>
  </si>
  <si>
    <t xml:space="preserve">8 meses antes</t>
  </si>
  <si>
    <t xml:space="preserve">Abrir registro de mesa de regalos</t>
  </si>
  <si>
    <t xml:space="preserve">  📅 FASE 2: 6-3 MESES ANTES DEL EVENTO</t>
  </si>
  <si>
    <t xml:space="preserve">Elegir vestido de novia/quinceañera</t>
  </si>
  <si>
    <t xml:space="preserve">Novia</t>
  </si>
  <si>
    <t xml:space="preserve">6 meses antes</t>
  </si>
  <si>
    <t xml:space="preserve">Contratar DJ o música en vivo</t>
  </si>
  <si>
    <t xml:space="preserve">Definir menú del banquete</t>
  </si>
  <si>
    <t xml:space="preserve">Pareja + Catering</t>
  </si>
  <si>
    <t xml:space="preserve">5 meses antes</t>
  </si>
  <si>
    <t xml:space="preserve">Contratar decorador y diseño floral</t>
  </si>
  <si>
    <t xml:space="preserve">Diseñar e imprimir invitaciones</t>
  </si>
  <si>
    <t xml:space="preserve">Planner + Diseñador</t>
  </si>
  <si>
    <t xml:space="preserve">Contratar coreógrafo</t>
  </si>
  <si>
    <t xml:space="preserve">Reservar hotel para invitados foráneos</t>
  </si>
  <si>
    <t xml:space="preserve">4 meses antes</t>
  </si>
  <si>
    <t xml:space="preserve">Contratar maquillista y estilista</t>
  </si>
  <si>
    <t xml:space="preserve">Enviar invitaciones</t>
  </si>
  <si>
    <t xml:space="preserve">3 meses antes</t>
  </si>
  <si>
    <t xml:space="preserve">Contratar transporte para invitados</t>
  </si>
  <si>
    <t xml:space="preserve">Contratar mariachi o entretenimiento extra</t>
  </si>
  <si>
    <t xml:space="preserve">Definir diseño de pastel</t>
  </si>
  <si>
    <t xml:space="preserve">Novios + Pastelero</t>
  </si>
  <si>
    <t xml:space="preserve">  📅 FASE 3: 3-1 MES ANTES DEL EVENTO</t>
  </si>
  <si>
    <t xml:space="preserve">Confirmar todos los proveedores</t>
  </si>
  <si>
    <t xml:space="preserve">2 meses antes</t>
  </si>
  <si>
    <t xml:space="preserve">Iniciar clases de baile / ensayos</t>
  </si>
  <si>
    <t xml:space="preserve">Novios + Coreógrafo</t>
  </si>
  <si>
    <t xml:space="preserve">Realizar prueba de maquillaje</t>
  </si>
  <si>
    <t xml:space="preserve">Novia + Maquillista</t>
  </si>
  <si>
    <t xml:space="preserve">Seguimiento de confirmaciones de invitados</t>
  </si>
  <si>
    <t xml:space="preserve">6 semanas antes</t>
  </si>
  <si>
    <t xml:space="preserve">Diseñar seating plan (mesas)</t>
  </si>
  <si>
    <t xml:space="preserve">1.5 meses antes</t>
  </si>
  <si>
    <t xml:space="preserve">Coordinar música de ceremonia y recepción</t>
  </si>
  <si>
    <t xml:space="preserve">DJ + Planner</t>
  </si>
  <si>
    <t xml:space="preserve">1 mes antes</t>
  </si>
  <si>
    <t xml:space="preserve">Entregar seating plan final</t>
  </si>
  <si>
    <t xml:space="preserve">3 semanas antes</t>
  </si>
  <si>
    <t xml:space="preserve">Confirmar menú definitivo con catering</t>
  </si>
  <si>
    <t xml:space="preserve">Planner + Catering</t>
  </si>
  <si>
    <t xml:space="preserve">Entregar timing del evento a proveedores</t>
  </si>
  <si>
    <t xml:space="preserve">2 semanas antes</t>
  </si>
  <si>
    <t xml:space="preserve">Preparar pagos finales</t>
  </si>
  <si>
    <t xml:space="preserve">Familia/Novios</t>
  </si>
  <si>
    <t xml:space="preserve">  📅 FASE 4: SEMANA DEL EVENTO</t>
  </si>
  <si>
    <t xml:space="preserve">Confirmar llegada y horarios de proveedores</t>
  </si>
  <si>
    <t xml:space="preserve">5 días antes</t>
  </si>
  <si>
    <t xml:space="preserve">Prueba de menú final con catering</t>
  </si>
  <si>
    <t xml:space="preserve">Preparar kit de emergencia del evento</t>
  </si>
  <si>
    <t xml:space="preserve">4 días antes</t>
  </si>
  <si>
    <t xml:space="preserve">Ensayo general de coreografía</t>
  </si>
  <si>
    <t xml:space="preserve">Coreógrafo + Novios</t>
  </si>
  <si>
    <t xml:space="preserve">Realizar pagos pendientes</t>
  </si>
  <si>
    <t xml:space="preserve">3 días antes</t>
  </si>
  <si>
    <t xml:space="preserve">Confirmar montaje y decoración</t>
  </si>
  <si>
    <t xml:space="preserve">Planner + Decorador</t>
  </si>
  <si>
    <t xml:space="preserve">2 días antes</t>
  </si>
  <si>
    <t xml:space="preserve">Ensayo de ceremonia (si aplica)</t>
  </si>
  <si>
    <t xml:space="preserve">Planner + Novios</t>
  </si>
  <si>
    <t xml:space="preserve">Supervisar montaje completo</t>
  </si>
  <si>
    <t xml:space="preserve">1 día antes</t>
  </si>
  <si>
    <t xml:space="preserve">Confirmar logística de transporte</t>
  </si>
  <si>
    <t xml:space="preserve">Revisar lista final de verificación</t>
  </si>
  <si>
    <t xml:space="preserve">Día del evento</t>
  </si>
  <si>
    <t xml:space="preserve">Coordinar llegada y bienvenida</t>
  </si>
  <si>
    <t xml:space="preserve">Planner + Hostess</t>
  </si>
  <si>
    <t xml:space="preserve">Supervisión total del evento</t>
  </si>
  <si>
    <t xml:space="preserve">Planner + Coordinador</t>
  </si>
  <si>
    <t xml:space="preserve">🎨 DISEÑO &amp; CONCEPTO DEL EVENTO</t>
  </si>
  <si>
    <t xml:space="preserve">Define la identidad visual y estética de tu evento</t>
  </si>
  <si>
    <t xml:space="preserve">🎭 TIPO DE EVENTO</t>
  </si>
  <si>
    <t xml:space="preserve">🏛️ MONTAJE &amp; EXPERIENCIA</t>
  </si>
  <si>
    <t xml:space="preserve">Tipo de montaje</t>
  </si>
  <si>
    <t xml:space="preserve">Banquete con mesas redondas</t>
  </si>
  <si>
    <t xml:space="preserve">Estilo principal</t>
  </si>
  <si>
    <t xml:space="preserve">Elegante / Romántico</t>
  </si>
  <si>
    <t xml:space="preserve">Capacidad por mesa</t>
  </si>
  <si>
    <t xml:space="preserve">10 personas</t>
  </si>
  <si>
    <t xml:space="preserve">Paleta de colores</t>
  </si>
  <si>
    <t xml:space="preserve">Dorado, Blanco y Verde Salvia</t>
  </si>
  <si>
    <t xml:space="preserve">Número de mesas</t>
  </si>
  <si>
    <t xml:space="preserve">15</t>
  </si>
  <si>
    <t xml:space="preserve">150</t>
  </si>
  <si>
    <t xml:space="preserve">Tipo de sillas</t>
  </si>
  <si>
    <t xml:space="preserve">Tiffany en blanco</t>
  </si>
  <si>
    <t xml:space="preserve">Presupuesto aprox.</t>
  </si>
  <si>
    <t xml:space="preserve">$180,000 MXN</t>
  </si>
  <si>
    <t xml:space="preserve">Estilo de mantelería</t>
  </si>
  <si>
    <t xml:space="preserve">Lino blanco con caminos dorados</t>
  </si>
  <si>
    <t xml:space="preserve">Locación</t>
  </si>
  <si>
    <t xml:space="preserve">Hacienda</t>
  </si>
  <si>
    <t xml:space="preserve">Iluminación</t>
  </si>
  <si>
    <t xml:space="preserve">Cálida + acentos dorados</t>
  </si>
  <si>
    <t xml:space="preserve">Temporada</t>
  </si>
  <si>
    <t xml:space="preserve">Otoño</t>
  </si>
  <si>
    <t xml:space="preserve">Tipo de pista</t>
  </si>
  <si>
    <t xml:space="preserve">Pista de madera 6x6m</t>
  </si>
  <si>
    <t xml:space="preserve">Hora del día</t>
  </si>
  <si>
    <t xml:space="preserve">Tarde-Noche</t>
  </si>
  <si>
    <t xml:space="preserve">Escenario / Tarima</t>
  </si>
  <si>
    <t xml:space="preserve">Tarima 4x3m para entretenimiento</t>
  </si>
  <si>
    <t xml:space="preserve">Área lounge</t>
  </si>
  <si>
    <t xml:space="preserve">Sí — zona de descanso VIP</t>
  </si>
  <si>
    <t xml:space="preserve">🎨 PALETA DE COLORES</t>
  </si>
  <si>
    <t xml:space="preserve">Área kids</t>
  </si>
  <si>
    <t xml:space="preserve">No aplica</t>
  </si>
  <si>
    <t xml:space="preserve">Color</t>
  </si>
  <si>
    <t xml:space="preserve">Nombre</t>
  </si>
  <si>
    <t xml:space="preserve">HEX</t>
  </si>
  <si>
    <t xml:space="preserve">Uso en el evento</t>
  </si>
  <si>
    <t xml:space="preserve">   ████</t>
  </si>
  <si>
    <t xml:space="preserve">Dorado Principal</t>
  </si>
  <si>
    <t xml:space="preserve">#C9A84C</t>
  </si>
  <si>
    <t xml:space="preserve">Lazos, centros de mesa, detalles</t>
  </si>
  <si>
    <t xml:space="preserve">Blanco Marfil</t>
  </si>
  <si>
    <t xml:space="preserve">#FAF7F2</t>
  </si>
  <si>
    <t xml:space="preserve">Mantelería, vestido, altar</t>
  </si>
  <si>
    <t xml:space="preserve">Verde Salvia</t>
  </si>
  <si>
    <t xml:space="preserve">#7A9E7E</t>
  </si>
  <si>
    <t xml:space="preserve">Flores, hojas decorativas</t>
  </si>
  <si>
    <t xml:space="preserve">Negro Carbón</t>
  </si>
  <si>
    <t xml:space="preserve">#1A1A1A</t>
  </si>
  <si>
    <t xml:space="preserve">Tipografía, marcos, detalles</t>
  </si>
  <si>
    <t xml:space="preserve">Champagne</t>
  </si>
  <si>
    <t xml:space="preserve">#F5E6C0</t>
  </si>
  <si>
    <t xml:space="preserve">Ribbon, fondos, iluminación</t>
  </si>
  <si>
    <t xml:space="preserve">🔗 REFERENCIAS &amp; INSPIRACIÓN</t>
  </si>
  <si>
    <t xml:space="preserve">Tipo</t>
  </si>
  <si>
    <t xml:space="preserve">Link / Usuario</t>
  </si>
  <si>
    <t xml:space="preserve">Tablero Pinterest</t>
  </si>
  <si>
    <t xml:space="preserve">https://pinterest.com/mi-evento</t>
  </si>
  <si>
    <t xml:space="preserve">Link al tablero de inspiración</t>
  </si>
  <si>
    <t xml:space="preserve">Instagram referencia</t>
  </si>
  <si>
    <t xml:space="preserve">@primaveraeventsgroup</t>
  </si>
  <si>
    <t xml:space="preserve">Cuenta de referencia visual</t>
  </si>
  <si>
    <t xml:space="preserve">Locación referencia</t>
  </si>
  <si>
    <t xml:space="preserve">https://primaveraeventsgroup.com</t>
  </si>
  <si>
    <t xml:space="preserve">Sitio web del salón</t>
  </si>
  <si>
    <t xml:space="preserve">Proveedor flores</t>
  </si>
  <si>
    <t xml:space="preserve">https://www.instagram.com/floralstudio</t>
  </si>
  <si>
    <t xml:space="preserve">Florería de referencia</t>
  </si>
  <si>
    <t xml:space="preserve">Fotógrafo</t>
  </si>
  <si>
    <t xml:space="preserve">https://www.luismendozaphoto.com</t>
  </si>
  <si>
    <t xml:space="preserve">Portfolio fotógrafo</t>
  </si>
  <si>
    <t xml:space="preserve">💡 COTIZADOR AUTOMÁTICO</t>
  </si>
  <si>
    <t xml:space="preserve">Resumen de servicios seleccionados — genera tu cotización profesional</t>
  </si>
  <si>
    <t xml:space="preserve">⚡ Este cotizador toma automáticamente los servicios marcados como "✓" en el Catálogo</t>
  </si>
  <si>
    <t xml:space="preserve">IVA (16%)</t>
  </si>
  <si>
    <t xml:space="preserve">Total c/IVA</t>
  </si>
  <si>
    <t xml:space="preserve">Los servicios seleccionados en el Catálogo aparecerán aquí. Usa la hoja 📦 Catálogo y marca ✓ en columna G.</t>
  </si>
  <si>
    <t xml:space="preserve">RESUMEN FINANCIERO</t>
  </si>
  <si>
    <t xml:space="preserve">Total servicios seleccionados</t>
  </si>
  <si>
    <t xml:space="preserve">TOTAL CON IVA</t>
  </si>
  <si>
    <t xml:space="preserve">Presupuesto disponible</t>
  </si>
  <si>
    <t xml:space="preserve">Diferencia (Disponible - Total)</t>
  </si>
  <si>
    <t xml:space="preserve">📞 ¿Listo para hacer realidad tu evento? Contáctanos: 📱 WhatsApp: +52 777-123-4567 | 🌐 primaveraeventsgroup.com | 📧 hola@primaveraeventsgroup.com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</si>
</sst>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General"/>
    <numFmt numFmtId="166" formatCode="dd/mm/yyyy"/>
    <numFmt numFmtId="167" formatCode="\$#,##0"/>
    <numFmt numFmtId="168" formatCode="0"/>
    <numFmt numFmtId="169" formatCode="0.0%"/>
    <numFmt numFmtId="170" formatCode="\$#,##0"/>
    <numFmt numFmtId="171" formatCode="0%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AAAAAA"/>
      <name val="Arial"/>
      <family val="0"/>
      <charset val="1"/>
    </font>
    <font>
      <b val="true"/>
      <sz val="12"/>
      <color rgb="FF1A1A1A"/>
      <name val="Arial"/>
      <family val="0"/>
      <charset val="1"/>
    </font>
    <font>
      <b val="true"/>
      <sz val="11"/>
      <color rgb="FF1A1A1A"/>
      <name val="Arial"/>
      <family val="0"/>
      <charset val="1"/>
    </font>
    <font>
      <b val="true"/>
      <sz val="11"/>
      <color rgb="FF1565C0"/>
      <name val="Arial"/>
      <family val="0"/>
      <charset val="1"/>
    </font>
    <font>
      <b val="true"/>
      <sz val="22"/>
      <color rgb="FFC9A84C"/>
      <name val="Arial"/>
      <family val="0"/>
      <charset val="1"/>
    </font>
    <font>
      <i val="true"/>
      <sz val="11"/>
      <color rgb="FFAAAAAA"/>
      <name val="Arial"/>
      <family val="0"/>
      <charset val="1"/>
    </font>
    <font>
      <b val="true"/>
      <sz val="9"/>
      <color rgb="FFC9A84C"/>
      <name val="Arial"/>
      <family val="0"/>
      <charset val="1"/>
    </font>
    <font>
      <b val="true"/>
      <sz val="9"/>
      <color rgb="FF7A9E7E"/>
      <name val="Arial"/>
      <family val="0"/>
      <charset val="1"/>
    </font>
    <font>
      <b val="true"/>
      <sz val="9"/>
      <color rgb="FF1565C0"/>
      <name val="Arial"/>
      <family val="0"/>
      <charset val="1"/>
    </font>
    <font>
      <b val="true"/>
      <sz val="9"/>
      <color rgb="FF1A1A1A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color rgb="FF1A1A1A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1"/>
      <color rgb="FFC9A84C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10"/>
      <color rgb="FF88888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CCCCCC"/>
      <name val="Arial"/>
      <family val="0"/>
      <charset val="1"/>
    </font>
    <font>
      <b val="true"/>
      <sz val="11"/>
      <color rgb="FF2E7D32"/>
      <name val="Arial"/>
      <family val="0"/>
      <charset val="1"/>
    </font>
    <font>
      <b val="true"/>
      <sz val="14"/>
      <color rgb="FF2E7D32"/>
      <name val="Arial"/>
      <family val="0"/>
      <charset val="1"/>
    </font>
    <font>
      <sz val="10"/>
      <color rgb="FF2E7D32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sz val="11"/>
      <color rgb="FF1565C0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i val="true"/>
      <sz val="11"/>
      <color rgb="FF999999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F5E6C0"/>
        <bgColor rgb="FFFFF9C4"/>
      </patternFill>
    </fill>
    <fill>
      <patternFill patternType="solid">
        <fgColor rgb="FFF5F5F5"/>
        <bgColor rgb="FFFAF7F2"/>
      </patternFill>
    </fill>
    <fill>
      <patternFill patternType="solid">
        <fgColor rgb="FFE3F2FD"/>
        <bgColor rgb="FFEEEEEE"/>
      </patternFill>
    </fill>
    <fill>
      <patternFill patternType="solid">
        <fgColor rgb="FFD4E8D6"/>
        <bgColor rgb="FFC8E6C9"/>
      </patternFill>
    </fill>
    <fill>
      <patternFill patternType="solid">
        <fgColor rgb="FFC9A84C"/>
        <bgColor rgb="FFAAAAAA"/>
      </patternFill>
    </fill>
    <fill>
      <patternFill patternType="solid">
        <fgColor rgb="FF7A9E7E"/>
        <bgColor rgb="FF888888"/>
      </patternFill>
    </fill>
    <fill>
      <patternFill patternType="solid">
        <fgColor rgb="FF1565C0"/>
        <bgColor rgb="FF3366FF"/>
      </patternFill>
    </fill>
    <fill>
      <patternFill patternType="solid">
        <fgColor rgb="FFE53935"/>
        <bgColor rgb="FF993366"/>
      </patternFill>
    </fill>
    <fill>
      <patternFill patternType="solid">
        <fgColor rgb="FFFAF7F2"/>
        <bgColor rgb="FFF5F5F5"/>
      </patternFill>
    </fill>
    <fill>
      <patternFill patternType="solid">
        <fgColor rgb="FFFFFFFF"/>
        <bgColor rgb="FFFAF7F2"/>
      </patternFill>
    </fill>
    <fill>
      <patternFill patternType="solid">
        <fgColor rgb="FFFFCDD2"/>
        <bgColor rgb="FFF5E6C0"/>
      </patternFill>
    </fill>
    <fill>
      <patternFill patternType="solid">
        <fgColor rgb="FFFFF9C4"/>
        <bgColor rgb="FFFAF7F2"/>
      </patternFill>
    </fill>
    <fill>
      <patternFill patternType="solid">
        <fgColor rgb="FFC8E6C9"/>
        <bgColor rgb="FFD4E8D6"/>
      </patternFill>
    </fill>
    <fill>
      <patternFill patternType="solid">
        <fgColor rgb="FF2E7D32"/>
        <bgColor rgb="FF008000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1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1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8" fillId="1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8" fillId="1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8" fillId="1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1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8" fillId="11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8" fillId="11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8" fillId="11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1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1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1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1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1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1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1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11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1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1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1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6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5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15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1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1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9" fillId="1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9" fillId="1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7" fillId="1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1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9E7E"/>
      <rgbColor rgb="FF800080"/>
      <rgbColor rgb="FF008080"/>
      <rgbColor rgb="FFCCCCCC"/>
      <rgbColor rgb="FF888888"/>
      <rgbColor rgb="FFAAAAAA"/>
      <rgbColor rgb="FF993366"/>
      <rgbColor rgb="FFFFF9C4"/>
      <rgbColor rgb="FFE3F2FD"/>
      <rgbColor rgb="FF660066"/>
      <rgbColor rgb="FFFF8080"/>
      <rgbColor rgb="FF1565C0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EEE"/>
      <rgbColor rgb="FFD4E8D6"/>
      <rgbColor rgb="FFF5E6C0"/>
      <rgbColor rgb="FFC8E6C9"/>
      <rgbColor rgb="FFF5F5F5"/>
      <rgbColor rgb="FFFAF7F2"/>
      <rgbColor rgb="FFFFCDD2"/>
      <rgbColor rgb="FF3366FF"/>
      <rgbColor rgb="FF33CCCC"/>
      <rgbColor rgb="FF99CC00"/>
      <rgbColor rgb="FFFFCC00"/>
      <rgbColor rgb="FFC9A84C"/>
      <rgbColor rgb="FFE53935"/>
      <rgbColor rgb="FF666666"/>
      <rgbColor rgb="FF999999"/>
      <rgbColor rgb="FF003366"/>
      <rgbColor rgb="FF2E7D32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84C"/>
    <pageSetUpPr fitToPage="false"/>
  </sheetPr>
  <dimension ref="A1:L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2"/>
    <col collapsed="false" customWidth="true" hidden="false" outlineLevel="0" max="6" min="3" style="1" width="18"/>
    <col collapsed="false" customWidth="true" hidden="false" outlineLevel="0" max="7" min="7" style="1" width="45"/>
    <col collapsed="false" customWidth="true" hidden="false" outlineLevel="0" max="12" min="8" style="1" width="4"/>
  </cols>
  <sheetData>
    <row r="1" customFormat="false" ht="39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9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24" hidden="false" customHeight="true" outlineLevel="0" collapsed="false">
      <c r="A4" s="4" t="s">
        <v>2</v>
      </c>
      <c r="B4" s="4"/>
      <c r="C4" s="4"/>
      <c r="D4" s="4"/>
    </row>
    <row r="5" customFormat="false" ht="15" hidden="false" customHeight="true" outlineLevel="0" collapsed="false">
      <c r="A5" s="5" t="s">
        <v>3</v>
      </c>
      <c r="B5" s="6" t="s">
        <v>4</v>
      </c>
      <c r="C5" s="7" t="s">
        <v>5</v>
      </c>
      <c r="D5" s="7"/>
    </row>
    <row r="6" customFormat="false" ht="36" hidden="false" customHeight="true" outlineLevel="0" collapsed="false">
      <c r="A6" s="5" t="s">
        <v>6</v>
      </c>
      <c r="B6" s="6" t="s">
        <v>7</v>
      </c>
      <c r="C6" s="8" t="n">
        <f aca="true">IF(B7="","—",MAX(0,B7-TODAY()))</f>
        <v>0</v>
      </c>
      <c r="D6" s="8"/>
    </row>
    <row r="7" customFormat="false" ht="15" hidden="false" customHeight="true" outlineLevel="0" collapsed="false">
      <c r="A7" s="5" t="s">
        <v>8</v>
      </c>
      <c r="B7" s="9" t="n">
        <v>45976</v>
      </c>
      <c r="C7" s="10" t="s">
        <v>9</v>
      </c>
      <c r="D7" s="10"/>
    </row>
    <row r="8" customFormat="false" ht="15" hidden="false" customHeight="true" outlineLevel="0" collapsed="false">
      <c r="A8" s="5" t="s">
        <v>10</v>
      </c>
      <c r="B8" s="6" t="s">
        <v>11</v>
      </c>
    </row>
    <row r="9" customFormat="false" ht="15" hidden="false" customHeight="true" outlineLevel="0" collapsed="false">
      <c r="A9" s="5" t="s">
        <v>12</v>
      </c>
      <c r="B9" s="6" t="n">
        <v>150</v>
      </c>
    </row>
    <row r="10" customFormat="false" ht="15" hidden="false" customHeight="true" outlineLevel="0" collapsed="false">
      <c r="A10" s="5" t="s">
        <v>13</v>
      </c>
      <c r="B10" s="11" t="n">
        <v>180000</v>
      </c>
    </row>
    <row r="12" customFormat="false" ht="15" hidden="false" customHeight="true" outlineLevel="0" collapsed="false">
      <c r="A12" s="12" t="s">
        <v>14</v>
      </c>
      <c r="B12" s="12"/>
      <c r="C12" s="12"/>
      <c r="D12" s="13" t="s">
        <v>15</v>
      </c>
      <c r="E12" s="13"/>
      <c r="F12" s="13"/>
      <c r="G12" s="14" t="s">
        <v>16</v>
      </c>
      <c r="H12" s="14"/>
      <c r="I12" s="14"/>
      <c r="J12" s="15" t="s">
        <v>17</v>
      </c>
      <c r="K12" s="15"/>
      <c r="L12" s="15"/>
    </row>
    <row r="13" customFormat="false" ht="36" hidden="false" customHeight="true" outlineLevel="0" collapsed="false">
      <c r="A13" s="16" t="n">
        <f aca="false">IFERROR('💰 Presupuesto'!H52,0)</f>
        <v>2500</v>
      </c>
      <c r="B13" s="16"/>
      <c r="C13" s="16"/>
      <c r="D13" s="17" t="n">
        <f aca="false">COUNTIF('✅ Checklist'!E5:E60,"✓")</f>
        <v>6</v>
      </c>
      <c r="E13" s="17"/>
      <c r="F13" s="17"/>
      <c r="G13" s="18" t="n">
        <f aca="false">COUNTIF('👥 Invitados'!D5:D204,"Sí")</f>
        <v>6</v>
      </c>
      <c r="H13" s="18"/>
      <c r="I13" s="18"/>
      <c r="J13" s="19" t="n">
        <f aca="false">COUNTIF('📦 Catálogo'!G5:G120,"✓")</f>
        <v>0</v>
      </c>
      <c r="K13" s="19"/>
      <c r="L13" s="19"/>
    </row>
    <row r="15" customFormat="false" ht="24" hidden="false" customHeight="true" outlineLevel="0" collapsed="false">
      <c r="A15" s="20" t="s">
        <v>18</v>
      </c>
      <c r="B15" s="20"/>
      <c r="C15" s="20"/>
      <c r="D15" s="20"/>
      <c r="E15" s="20"/>
      <c r="F15" s="20"/>
      <c r="G15" s="21" t="s">
        <v>19</v>
      </c>
      <c r="H15" s="21"/>
      <c r="I15" s="21"/>
      <c r="J15" s="21"/>
      <c r="K15" s="21"/>
      <c r="L15" s="21"/>
    </row>
    <row r="16" customFormat="false" ht="19.5" hidden="false" customHeight="true" outlineLevel="0" collapsed="false">
      <c r="A16" s="22" t="s">
        <v>20</v>
      </c>
      <c r="B16" s="23" t="n">
        <f aca="false">B10</f>
        <v>180000</v>
      </c>
      <c r="G16" s="24" t="str">
        <f aca="true">IF(AND(B7-TODAY()&lt;90,COUNTIF('📦 Catálogo'!B5:B120,"*fotógrafo*")+COUNTIF('📦 Catálogo'!G5:G120,"✓")=0),"🔴 Faltan menos de 90 días y no tienes fotógrafo","🟢 Fotografía en orden")</f>
        <v>🔴 Faltan menos de 90 días y no tienes fotógrafo</v>
      </c>
      <c r="H16" s="24"/>
      <c r="I16" s="24"/>
      <c r="J16" s="24"/>
      <c r="K16" s="24"/>
      <c r="L16" s="24"/>
    </row>
    <row r="17" customFormat="false" ht="19.5" hidden="false" customHeight="true" outlineLevel="0" collapsed="false">
      <c r="A17" s="25" t="s">
        <v>21</v>
      </c>
      <c r="B17" s="26" t="n">
        <f aca="false">IFERROR('💰 Presupuesto'!E58,0)</f>
        <v>299200</v>
      </c>
      <c r="G17" s="27" t="str">
        <f aca="true">IF(B7-TODAY()&lt;60,"🟠 Faltan menos de 60 días — confirma DJ y música","🟢 Música en orden")</f>
        <v>🟠 Faltan menos de 60 días — confirma DJ y música</v>
      </c>
      <c r="H17" s="27"/>
      <c r="I17" s="27"/>
      <c r="J17" s="27"/>
      <c r="K17" s="27"/>
      <c r="L17" s="27"/>
    </row>
    <row r="18" customFormat="false" ht="19.5" hidden="false" customHeight="true" outlineLevel="0" collapsed="false">
      <c r="A18" s="22" t="s">
        <v>22</v>
      </c>
      <c r="B18" s="23" t="n">
        <f aca="false">IFERROR('💰 Presupuesto'!G58,0)</f>
        <v>294700</v>
      </c>
      <c r="G18" s="24" t="str">
        <f aca="false">IF(IFERROR(B18/B16,0)&gt;0.8,"🔴 Superaste el 80% del presupuesto","🟢 Presupuesto bajo control")</f>
        <v>🔴 Superaste el 80% del presupuesto</v>
      </c>
      <c r="H18" s="24"/>
      <c r="I18" s="24"/>
      <c r="J18" s="24"/>
      <c r="K18" s="24"/>
      <c r="L18" s="24"/>
    </row>
    <row r="19" customFormat="false" ht="19.5" hidden="false" customHeight="true" outlineLevel="0" collapsed="false">
      <c r="A19" s="25" t="s">
        <v>23</v>
      </c>
      <c r="B19" s="26" t="n">
        <f aca="false">IFERROR('💰 Presupuesto'!H58,0)</f>
        <v>137800</v>
      </c>
      <c r="G19" s="27" t="str">
        <f aca="true">IF(AND(B7-TODAY()&lt;30,IFERROR(COUNTIF('👥 Invitados'!D5:D204,"Sí")/B9,0)&lt;0.5),"🟡 Menos del 50% de confirmaciones a 30 días","🟢 Confirmaciones en orden")</f>
        <v>🟡 Menos del 50% de confirmaciones a 30 días</v>
      </c>
      <c r="H19" s="27"/>
      <c r="I19" s="27"/>
      <c r="J19" s="27"/>
      <c r="K19" s="27"/>
      <c r="L19" s="27"/>
    </row>
    <row r="20" customFormat="false" ht="19.5" hidden="false" customHeight="true" outlineLevel="0" collapsed="false">
      <c r="A20" s="22" t="s">
        <v>24</v>
      </c>
      <c r="B20" s="23" t="n">
        <f aca="false">IFERROR('💰 Presupuesto'!I58,0)</f>
        <v>156900</v>
      </c>
      <c r="G20" s="24" t="str">
        <f aca="true">IF(B7-TODAY()&lt;7,"🔴 ¡SEMANA DEL EVENTO! Verifica últimos pagos y logística","🟢 Aún hay tiempo")</f>
        <v>🔴 ¡SEMANA DEL EVENTO! Verifica últimos pagos y logística</v>
      </c>
      <c r="H20" s="24"/>
      <c r="I20" s="24"/>
      <c r="J20" s="24"/>
      <c r="K20" s="24"/>
      <c r="L20" s="24"/>
    </row>
    <row r="21" customFormat="false" ht="15" hidden="false" customHeight="true" outlineLevel="0" collapsed="false">
      <c r="A21" s="25" t="s">
        <v>25</v>
      </c>
      <c r="B21" s="26" t="n">
        <f aca="false">B16-B17</f>
        <v>-119200</v>
      </c>
    </row>
    <row r="22" customFormat="false" ht="15" hidden="false" customHeight="true" outlineLevel="0" collapsed="false">
      <c r="A22" s="28" t="s">
        <v>26</v>
      </c>
      <c r="B22" s="29" t="n">
        <f aca="false">IFERROR(B18/B16,0)</f>
        <v>1.63722222222222</v>
      </c>
    </row>
  </sheetData>
  <mergeCells count="21">
    <mergeCell ref="A1:L1"/>
    <mergeCell ref="A2:L2"/>
    <mergeCell ref="A4:D4"/>
    <mergeCell ref="C5:D5"/>
    <mergeCell ref="C6:D6"/>
    <mergeCell ref="C7:D7"/>
    <mergeCell ref="A12:C12"/>
    <mergeCell ref="D12:F12"/>
    <mergeCell ref="G12:I12"/>
    <mergeCell ref="J12:L12"/>
    <mergeCell ref="A13:C13"/>
    <mergeCell ref="D13:F13"/>
    <mergeCell ref="G13:I13"/>
    <mergeCell ref="J13:L13"/>
    <mergeCell ref="A15:F15"/>
    <mergeCell ref="G15:L15"/>
    <mergeCell ref="G16:L16"/>
    <mergeCell ref="G17:L17"/>
    <mergeCell ref="G18:L18"/>
    <mergeCell ref="G19:L19"/>
    <mergeCell ref="G20:L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84C"/>
    <pageSetUpPr fitToPage="false"/>
  </sheetPr>
  <dimension ref="A1:L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0"/>
    <col collapsed="false" customWidth="true" hidden="false" outlineLevel="0" max="3" min="3" style="1" width="32"/>
    <col collapsed="false" customWidth="true" hidden="false" outlineLevel="0" max="4" min="4" style="1" width="28"/>
    <col collapsed="false" customWidth="true" hidden="false" outlineLevel="0" max="5" min="5" style="1" width="16"/>
    <col collapsed="false" customWidth="true" hidden="false" outlineLevel="0" max="6" min="6" style="1" width="12"/>
    <col collapsed="false" customWidth="true" hidden="false" outlineLevel="0" max="9" min="7" style="1" width="16"/>
    <col collapsed="false" customWidth="true" hidden="false" outlineLevel="0" max="10" min="10" style="1" width="14"/>
    <col collapsed="false" customWidth="true" hidden="false" outlineLevel="0" max="11" min="11" style="1" width="28"/>
  </cols>
  <sheetData>
    <row r="1" customFormat="false" ht="30" hidden="false" customHeight="true" outlineLevel="0" collapsed="false">
      <c r="A1" s="30" t="s">
        <v>27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</row>
    <row r="2" customFormat="false" ht="18" hidden="false" customHeight="true" outlineLevel="0" collapsed="false">
      <c r="A2" s="31" t="s">
        <v>28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3" customFormat="false" ht="15" hidden="false" customHeight="true" outlineLevel="0" collapsed="false">
      <c r="A3" s="32" t="s">
        <v>29</v>
      </c>
      <c r="B3" s="32" t="s">
        <v>30</v>
      </c>
      <c r="C3" s="32" t="s">
        <v>31</v>
      </c>
      <c r="D3" s="32" t="s">
        <v>32</v>
      </c>
      <c r="E3" s="32" t="s">
        <v>33</v>
      </c>
      <c r="F3" s="32" t="s">
        <v>34</v>
      </c>
      <c r="G3" s="32" t="s">
        <v>35</v>
      </c>
      <c r="H3" s="32" t="s">
        <v>36</v>
      </c>
      <c r="I3" s="32" t="s">
        <v>24</v>
      </c>
      <c r="J3" s="32" t="s">
        <v>37</v>
      </c>
      <c r="K3" s="32" t="s">
        <v>38</v>
      </c>
    </row>
    <row r="4" customFormat="false" ht="19.5" hidden="false" customHeight="true" outlineLevel="0" collapsed="false">
      <c r="A4" s="33" t="s">
        <v>39</v>
      </c>
      <c r="B4" s="33"/>
      <c r="C4" s="33"/>
      <c r="D4" s="33"/>
      <c r="E4" s="33"/>
      <c r="F4" s="33"/>
      <c r="G4" s="33"/>
      <c r="H4" s="33"/>
      <c r="I4" s="33"/>
      <c r="J4" s="33"/>
      <c r="K4" s="33"/>
    </row>
    <row r="5" customFormat="false" ht="18" hidden="false" customHeight="true" outlineLevel="0" collapsed="false">
      <c r="A5" s="34" t="n">
        <v>1</v>
      </c>
      <c r="B5" s="34" t="s">
        <v>40</v>
      </c>
      <c r="C5" s="34" t="s">
        <v>41</v>
      </c>
      <c r="D5" s="34"/>
      <c r="E5" s="35" t="n">
        <v>45000</v>
      </c>
      <c r="F5" s="36" t="n">
        <f aca="false">IFERROR(E5/E$58,0)</f>
        <v>0.150401069518717</v>
      </c>
      <c r="G5" s="35" t="n">
        <v>45000</v>
      </c>
      <c r="H5" s="35" t="n">
        <v>20000</v>
      </c>
      <c r="I5" s="37" t="n">
        <f aca="false">IFERROR(G5-H5,0)</f>
        <v>25000</v>
      </c>
      <c r="J5" s="34" t="s">
        <v>42</v>
      </c>
      <c r="K5" s="34"/>
    </row>
    <row r="6" customFormat="false" ht="18" hidden="false" customHeight="true" outlineLevel="0" collapsed="false">
      <c r="A6" s="38" t="n">
        <v>2</v>
      </c>
      <c r="B6" s="38" t="s">
        <v>40</v>
      </c>
      <c r="C6" s="38" t="s">
        <v>43</v>
      </c>
      <c r="D6" s="38"/>
      <c r="E6" s="39" t="n">
        <v>5000</v>
      </c>
      <c r="F6" s="40" t="n">
        <f aca="false">IFERROR(E6/E$58,0)</f>
        <v>0.0167112299465241</v>
      </c>
      <c r="G6" s="39" t="n">
        <v>5000</v>
      </c>
      <c r="H6" s="39" t="n">
        <v>2000</v>
      </c>
      <c r="I6" s="41" t="n">
        <f aca="false">IFERROR(G6-H6,0)</f>
        <v>3000</v>
      </c>
      <c r="J6" s="38" t="s">
        <v>42</v>
      </c>
      <c r="K6" s="38"/>
    </row>
    <row r="7" customFormat="false" ht="18" hidden="false" customHeight="true" outlineLevel="0" collapsed="false">
      <c r="A7" s="34" t="n">
        <v>3</v>
      </c>
      <c r="B7" s="34" t="s">
        <v>40</v>
      </c>
      <c r="C7" s="34" t="s">
        <v>44</v>
      </c>
      <c r="D7" s="34"/>
      <c r="E7" s="35" t="n">
        <v>3500</v>
      </c>
      <c r="F7" s="36" t="n">
        <f aca="false">IFERROR(E7/E$58,0)</f>
        <v>0.0116978609625668</v>
      </c>
      <c r="G7" s="35" t="n">
        <v>3500</v>
      </c>
      <c r="H7" s="35" t="n">
        <v>0</v>
      </c>
      <c r="I7" s="37" t="n">
        <f aca="false">IFERROR(G7-H7,0)</f>
        <v>3500</v>
      </c>
      <c r="J7" s="34" t="s">
        <v>45</v>
      </c>
      <c r="K7" s="34"/>
    </row>
    <row r="8" customFormat="false" ht="18" hidden="false" customHeight="true" outlineLevel="0" collapsed="false">
      <c r="A8" s="38" t="n">
        <v>4</v>
      </c>
      <c r="B8" s="38" t="s">
        <v>40</v>
      </c>
      <c r="C8" s="38" t="s">
        <v>46</v>
      </c>
      <c r="D8" s="38"/>
      <c r="E8" s="39" t="n">
        <v>4000</v>
      </c>
      <c r="F8" s="40" t="n">
        <f aca="false">IFERROR(E8/E$58,0)</f>
        <v>0.0133689839572193</v>
      </c>
      <c r="G8" s="39" t="n">
        <v>4000</v>
      </c>
      <c r="H8" s="39" t="n">
        <v>4000</v>
      </c>
      <c r="I8" s="41" t="n">
        <f aca="false">IFERROR(G8-H8,0)</f>
        <v>0</v>
      </c>
      <c r="J8" s="38" t="s">
        <v>47</v>
      </c>
      <c r="K8" s="38"/>
    </row>
    <row r="9" customFormat="false" ht="19.5" hidden="false" customHeight="true" outlineLevel="0" collapsed="false">
      <c r="A9" s="33" t="s">
        <v>48</v>
      </c>
      <c r="B9" s="33"/>
      <c r="C9" s="33"/>
      <c r="D9" s="33"/>
      <c r="E9" s="33"/>
      <c r="F9" s="33"/>
      <c r="G9" s="33"/>
      <c r="H9" s="33"/>
      <c r="I9" s="33"/>
      <c r="J9" s="33"/>
      <c r="K9" s="33"/>
    </row>
    <row r="10" customFormat="false" ht="18" hidden="false" customHeight="true" outlineLevel="0" collapsed="false">
      <c r="A10" s="34" t="n">
        <v>5</v>
      </c>
      <c r="B10" s="34" t="s">
        <v>49</v>
      </c>
      <c r="C10" s="34" t="s">
        <v>50</v>
      </c>
      <c r="D10" s="34"/>
      <c r="E10" s="35" t="n">
        <v>35000</v>
      </c>
      <c r="F10" s="36" t="n">
        <f aca="false">IFERROR(E10/E$58,0)</f>
        <v>0.116978609625668</v>
      </c>
      <c r="G10" s="35" t="n">
        <v>35000</v>
      </c>
      <c r="H10" s="35" t="n">
        <v>15000</v>
      </c>
      <c r="I10" s="37" t="n">
        <f aca="false">IFERROR(G10-H10,0)</f>
        <v>20000</v>
      </c>
      <c r="J10" s="34" t="s">
        <v>42</v>
      </c>
      <c r="K10" s="34"/>
    </row>
    <row r="11" customFormat="false" ht="18" hidden="false" customHeight="true" outlineLevel="0" collapsed="false">
      <c r="A11" s="38" t="n">
        <v>6</v>
      </c>
      <c r="B11" s="38" t="s">
        <v>49</v>
      </c>
      <c r="C11" s="38" t="s">
        <v>51</v>
      </c>
      <c r="D11" s="38"/>
      <c r="E11" s="39" t="n">
        <v>8000</v>
      </c>
      <c r="F11" s="40" t="n">
        <f aca="false">IFERROR(E11/E$58,0)</f>
        <v>0.0267379679144385</v>
      </c>
      <c r="G11" s="39" t="n">
        <v>8500</v>
      </c>
      <c r="H11" s="39" t="n">
        <v>4000</v>
      </c>
      <c r="I11" s="41" t="n">
        <f aca="false">IFERROR(G11-H11,0)</f>
        <v>4500</v>
      </c>
      <c r="J11" s="38" t="s">
        <v>42</v>
      </c>
      <c r="K11" s="38"/>
    </row>
    <row r="12" customFormat="false" ht="18" hidden="false" customHeight="true" outlineLevel="0" collapsed="false">
      <c r="A12" s="34" t="n">
        <v>7</v>
      </c>
      <c r="B12" s="34" t="s">
        <v>49</v>
      </c>
      <c r="C12" s="34" t="s">
        <v>52</v>
      </c>
      <c r="D12" s="34"/>
      <c r="E12" s="35" t="n">
        <v>12000</v>
      </c>
      <c r="F12" s="36" t="n">
        <f aca="false">IFERROR(E12/E$58,0)</f>
        <v>0.0401069518716578</v>
      </c>
      <c r="G12" s="35" t="n">
        <v>12000</v>
      </c>
      <c r="H12" s="35" t="n">
        <v>6000</v>
      </c>
      <c r="I12" s="37" t="n">
        <f aca="false">IFERROR(G12-H12,0)</f>
        <v>6000</v>
      </c>
      <c r="J12" s="34" t="s">
        <v>42</v>
      </c>
      <c r="K12" s="34"/>
    </row>
    <row r="13" customFormat="false" ht="18" hidden="false" customHeight="true" outlineLevel="0" collapsed="false">
      <c r="A13" s="38" t="n">
        <v>8</v>
      </c>
      <c r="B13" s="38" t="s">
        <v>49</v>
      </c>
      <c r="C13" s="38" t="s">
        <v>53</v>
      </c>
      <c r="D13" s="38"/>
      <c r="E13" s="39" t="n">
        <v>6000</v>
      </c>
      <c r="F13" s="40" t="n">
        <f aca="false">IFERROR(E13/E$58,0)</f>
        <v>0.0200534759358289</v>
      </c>
      <c r="G13" s="39" t="n">
        <v>6000</v>
      </c>
      <c r="H13" s="39" t="n">
        <v>0</v>
      </c>
      <c r="I13" s="41" t="n">
        <f aca="false">IFERROR(G13-H13,0)</f>
        <v>6000</v>
      </c>
      <c r="J13" s="38" t="s">
        <v>45</v>
      </c>
      <c r="K13" s="38"/>
    </row>
    <row r="14" customFormat="false" ht="19.5" hidden="false" customHeight="true" outlineLevel="0" collapsed="false">
      <c r="A14" s="33" t="s">
        <v>54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</row>
    <row r="15" customFormat="false" ht="18" hidden="false" customHeight="true" outlineLevel="0" collapsed="false">
      <c r="A15" s="34" t="n">
        <v>9</v>
      </c>
      <c r="B15" s="34" t="s">
        <v>55</v>
      </c>
      <c r="C15" s="34" t="s">
        <v>56</v>
      </c>
      <c r="D15" s="34"/>
      <c r="E15" s="35" t="n">
        <v>8000</v>
      </c>
      <c r="F15" s="36" t="n">
        <f aca="false">IFERROR(E15/E$58,0)</f>
        <v>0.0267379679144385</v>
      </c>
      <c r="G15" s="35" t="n">
        <v>8000</v>
      </c>
      <c r="H15" s="35" t="n">
        <v>4000</v>
      </c>
      <c r="I15" s="37" t="n">
        <f aca="false">IFERROR(G15-H15,0)</f>
        <v>4000</v>
      </c>
      <c r="J15" s="34" t="s">
        <v>42</v>
      </c>
      <c r="K15" s="34"/>
    </row>
    <row r="16" customFormat="false" ht="18" hidden="false" customHeight="true" outlineLevel="0" collapsed="false">
      <c r="A16" s="38" t="n">
        <v>10</v>
      </c>
      <c r="B16" s="38" t="s">
        <v>55</v>
      </c>
      <c r="C16" s="38" t="s">
        <v>57</v>
      </c>
      <c r="D16" s="38"/>
      <c r="E16" s="39" t="n">
        <v>6000</v>
      </c>
      <c r="F16" s="40" t="n">
        <f aca="false">IFERROR(E16/E$58,0)</f>
        <v>0.0200534759358289</v>
      </c>
      <c r="G16" s="39" t="n">
        <v>6000</v>
      </c>
      <c r="H16" s="39" t="n">
        <v>6000</v>
      </c>
      <c r="I16" s="41" t="n">
        <f aca="false">IFERROR(G16-H16,0)</f>
        <v>0</v>
      </c>
      <c r="J16" s="38" t="s">
        <v>47</v>
      </c>
      <c r="K16" s="38"/>
    </row>
    <row r="17" customFormat="false" ht="18" hidden="false" customHeight="true" outlineLevel="0" collapsed="false">
      <c r="A17" s="34" t="n">
        <v>11</v>
      </c>
      <c r="B17" s="34" t="s">
        <v>55</v>
      </c>
      <c r="C17" s="34" t="s">
        <v>58</v>
      </c>
      <c r="D17" s="34"/>
      <c r="E17" s="35" t="n">
        <v>5000</v>
      </c>
      <c r="F17" s="36" t="n">
        <f aca="false">IFERROR(E17/E$58,0)</f>
        <v>0.0167112299465241</v>
      </c>
      <c r="G17" s="35" t="n">
        <v>5000</v>
      </c>
      <c r="H17" s="35" t="n">
        <v>0</v>
      </c>
      <c r="I17" s="37" t="n">
        <f aca="false">IFERROR(G17-H17,0)</f>
        <v>5000</v>
      </c>
      <c r="J17" s="34" t="s">
        <v>45</v>
      </c>
      <c r="K17" s="34"/>
    </row>
    <row r="18" customFormat="false" ht="18" hidden="false" customHeight="true" outlineLevel="0" collapsed="false">
      <c r="A18" s="38" t="n">
        <v>12</v>
      </c>
      <c r="B18" s="38" t="s">
        <v>55</v>
      </c>
      <c r="C18" s="38" t="s">
        <v>59</v>
      </c>
      <c r="D18" s="38"/>
      <c r="E18" s="39" t="n">
        <v>3500</v>
      </c>
      <c r="F18" s="40" t="n">
        <f aca="false">IFERROR(E18/E$58,0)</f>
        <v>0.0116978609625668</v>
      </c>
      <c r="G18" s="39" t="n">
        <v>3500</v>
      </c>
      <c r="H18" s="39" t="n">
        <v>3500</v>
      </c>
      <c r="I18" s="41" t="n">
        <f aca="false">IFERROR(G18-H18,0)</f>
        <v>0</v>
      </c>
      <c r="J18" s="38" t="s">
        <v>47</v>
      </c>
      <c r="K18" s="38"/>
    </row>
    <row r="19" customFormat="false" ht="19.5" hidden="false" customHeight="true" outlineLevel="0" collapsed="false">
      <c r="A19" s="33" t="s">
        <v>60</v>
      </c>
      <c r="B19" s="33"/>
      <c r="C19" s="33"/>
      <c r="D19" s="33"/>
      <c r="E19" s="33"/>
      <c r="F19" s="33"/>
      <c r="G19" s="33"/>
      <c r="H19" s="33"/>
      <c r="I19" s="33"/>
      <c r="J19" s="33"/>
      <c r="K19" s="33"/>
    </row>
    <row r="20" customFormat="false" ht="18" hidden="false" customHeight="true" outlineLevel="0" collapsed="false">
      <c r="A20" s="34" t="n">
        <v>13</v>
      </c>
      <c r="B20" s="34" t="s">
        <v>61</v>
      </c>
      <c r="C20" s="34" t="s">
        <v>62</v>
      </c>
      <c r="D20" s="34"/>
      <c r="E20" s="35" t="n">
        <v>15000</v>
      </c>
      <c r="F20" s="36" t="n">
        <f aca="false">IFERROR(E20/E$58,0)</f>
        <v>0.0501336898395722</v>
      </c>
      <c r="G20" s="35" t="n">
        <v>15000</v>
      </c>
      <c r="H20" s="35" t="n">
        <v>7500</v>
      </c>
      <c r="I20" s="37" t="n">
        <f aca="false">IFERROR(G20-H20,0)</f>
        <v>7500</v>
      </c>
      <c r="J20" s="34" t="s">
        <v>42</v>
      </c>
      <c r="K20" s="34"/>
    </row>
    <row r="21" customFormat="false" ht="18" hidden="false" customHeight="true" outlineLevel="0" collapsed="false">
      <c r="A21" s="38" t="n">
        <v>14</v>
      </c>
      <c r="B21" s="38" t="s">
        <v>61</v>
      </c>
      <c r="C21" s="38" t="s">
        <v>63</v>
      </c>
      <c r="D21" s="38"/>
      <c r="E21" s="39" t="n">
        <v>12000</v>
      </c>
      <c r="F21" s="40" t="n">
        <f aca="false">IFERROR(E21/E$58,0)</f>
        <v>0.0401069518716578</v>
      </c>
      <c r="G21" s="39" t="n">
        <v>12000</v>
      </c>
      <c r="H21" s="39" t="n">
        <v>6000</v>
      </c>
      <c r="I21" s="41" t="n">
        <f aca="false">IFERROR(G21-H21,0)</f>
        <v>6000</v>
      </c>
      <c r="J21" s="38" t="s">
        <v>42</v>
      </c>
      <c r="K21" s="38"/>
    </row>
    <row r="22" customFormat="false" ht="18" hidden="false" customHeight="true" outlineLevel="0" collapsed="false">
      <c r="A22" s="34" t="n">
        <v>15</v>
      </c>
      <c r="B22" s="34" t="s">
        <v>61</v>
      </c>
      <c r="C22" s="34" t="s">
        <v>64</v>
      </c>
      <c r="D22" s="34"/>
      <c r="E22" s="35" t="n">
        <v>3000</v>
      </c>
      <c r="F22" s="36" t="n">
        <f aca="false">IFERROR(E22/E$58,0)</f>
        <v>0.0100267379679144</v>
      </c>
      <c r="G22" s="35" t="n">
        <v>3000</v>
      </c>
      <c r="H22" s="35" t="n">
        <v>0</v>
      </c>
      <c r="I22" s="37" t="n">
        <f aca="false">IFERROR(G22-H22,0)</f>
        <v>3000</v>
      </c>
      <c r="J22" s="34" t="s">
        <v>45</v>
      </c>
      <c r="K22" s="34"/>
    </row>
    <row r="23" customFormat="false" ht="19.5" hidden="false" customHeight="true" outlineLevel="0" collapsed="false">
      <c r="A23" s="33" t="s">
        <v>65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</row>
    <row r="24" customFormat="false" ht="18" hidden="false" customHeight="true" outlineLevel="0" collapsed="false">
      <c r="A24" s="38" t="n">
        <v>16</v>
      </c>
      <c r="B24" s="38" t="s">
        <v>66</v>
      </c>
      <c r="C24" s="38" t="s">
        <v>67</v>
      </c>
      <c r="D24" s="38"/>
      <c r="E24" s="39" t="n">
        <v>4500</v>
      </c>
      <c r="F24" s="40" t="n">
        <f aca="false">IFERROR(E24/E$58,0)</f>
        <v>0.0150401069518717</v>
      </c>
      <c r="G24" s="39" t="n">
        <v>4500</v>
      </c>
      <c r="H24" s="39" t="n">
        <v>2000</v>
      </c>
      <c r="I24" s="41" t="n">
        <f aca="false">IFERROR(G24-H24,0)</f>
        <v>2500</v>
      </c>
      <c r="J24" s="38" t="s">
        <v>42</v>
      </c>
      <c r="K24" s="38"/>
    </row>
    <row r="25" customFormat="false" ht="18" hidden="false" customHeight="true" outlineLevel="0" collapsed="false">
      <c r="A25" s="34" t="n">
        <v>17</v>
      </c>
      <c r="B25" s="34" t="s">
        <v>66</v>
      </c>
      <c r="C25" s="34" t="s">
        <v>68</v>
      </c>
      <c r="D25" s="34"/>
      <c r="E25" s="35" t="n">
        <v>3500</v>
      </c>
      <c r="F25" s="36" t="n">
        <f aca="false">IFERROR(E25/E$58,0)</f>
        <v>0.0116978609625668</v>
      </c>
      <c r="G25" s="35" t="n">
        <v>3500</v>
      </c>
      <c r="H25" s="35" t="n">
        <v>1500</v>
      </c>
      <c r="I25" s="37" t="n">
        <f aca="false">IFERROR(G25-H25,0)</f>
        <v>2000</v>
      </c>
      <c r="J25" s="34" t="s">
        <v>42</v>
      </c>
      <c r="K25" s="34"/>
    </row>
    <row r="26" customFormat="false" ht="18" hidden="false" customHeight="true" outlineLevel="0" collapsed="false">
      <c r="A26" s="38" t="n">
        <v>18</v>
      </c>
      <c r="B26" s="38" t="s">
        <v>66</v>
      </c>
      <c r="C26" s="38" t="s">
        <v>69</v>
      </c>
      <c r="D26" s="38"/>
      <c r="E26" s="39" t="n">
        <v>800</v>
      </c>
      <c r="F26" s="40" t="n">
        <f aca="false">IFERROR(E26/E$58,0)</f>
        <v>0.00267379679144385</v>
      </c>
      <c r="G26" s="39" t="n">
        <v>800</v>
      </c>
      <c r="H26" s="39" t="n">
        <v>800</v>
      </c>
      <c r="I26" s="41" t="n">
        <f aca="false">IFERROR(G26-H26,0)</f>
        <v>0</v>
      </c>
      <c r="J26" s="38" t="s">
        <v>47</v>
      </c>
      <c r="K26" s="38"/>
    </row>
    <row r="27" customFormat="false" ht="19.5" hidden="false" customHeight="true" outlineLevel="0" collapsed="false">
      <c r="A27" s="33" t="s">
        <v>70</v>
      </c>
      <c r="B27" s="33"/>
      <c r="C27" s="33"/>
      <c r="D27" s="33"/>
      <c r="E27" s="33"/>
      <c r="F27" s="33"/>
      <c r="G27" s="33"/>
      <c r="H27" s="33"/>
      <c r="I27" s="33"/>
      <c r="J27" s="33"/>
      <c r="K27" s="33"/>
    </row>
    <row r="28" customFormat="false" ht="18" hidden="false" customHeight="true" outlineLevel="0" collapsed="false">
      <c r="A28" s="34" t="n">
        <v>19</v>
      </c>
      <c r="B28" s="34" t="s">
        <v>71</v>
      </c>
      <c r="C28" s="34" t="s">
        <v>72</v>
      </c>
      <c r="D28" s="34"/>
      <c r="E28" s="35" t="n">
        <v>18000</v>
      </c>
      <c r="F28" s="36" t="n">
        <f aca="false">IFERROR(E28/E$58,0)</f>
        <v>0.0601604278074866</v>
      </c>
      <c r="G28" s="35" t="n">
        <v>18000</v>
      </c>
      <c r="H28" s="35" t="n">
        <v>9000</v>
      </c>
      <c r="I28" s="37" t="n">
        <f aca="false">IFERROR(G28-H28,0)</f>
        <v>9000</v>
      </c>
      <c r="J28" s="34" t="s">
        <v>42</v>
      </c>
      <c r="K28" s="34"/>
    </row>
    <row r="29" customFormat="false" ht="18" hidden="false" customHeight="true" outlineLevel="0" collapsed="false">
      <c r="A29" s="38" t="n">
        <v>20</v>
      </c>
      <c r="B29" s="38" t="s">
        <v>71</v>
      </c>
      <c r="C29" s="38" t="s">
        <v>73</v>
      </c>
      <c r="D29" s="38"/>
      <c r="E29" s="39" t="n">
        <v>6000</v>
      </c>
      <c r="F29" s="40" t="n">
        <f aca="false">IFERROR(E29/E$58,0)</f>
        <v>0.0200534759358289</v>
      </c>
      <c r="G29" s="39" t="n">
        <v>6000</v>
      </c>
      <c r="H29" s="39" t="n">
        <v>3000</v>
      </c>
      <c r="I29" s="41" t="n">
        <f aca="false">IFERROR(G29-H29,0)</f>
        <v>3000</v>
      </c>
      <c r="J29" s="38" t="s">
        <v>42</v>
      </c>
      <c r="K29" s="38"/>
    </row>
    <row r="30" customFormat="false" ht="18" hidden="false" customHeight="true" outlineLevel="0" collapsed="false">
      <c r="A30" s="34" t="n">
        <v>21</v>
      </c>
      <c r="B30" s="34" t="s">
        <v>71</v>
      </c>
      <c r="C30" s="34" t="s">
        <v>74</v>
      </c>
      <c r="D30" s="34"/>
      <c r="E30" s="35" t="n">
        <v>7500</v>
      </c>
      <c r="F30" s="36" t="n">
        <f aca="false">IFERROR(E30/E$58,0)</f>
        <v>0.0250668449197861</v>
      </c>
      <c r="G30" s="35" t="n">
        <v>7500</v>
      </c>
      <c r="H30" s="35" t="n">
        <v>3500</v>
      </c>
      <c r="I30" s="37" t="n">
        <f aca="false">IFERROR(G30-H30,0)</f>
        <v>4000</v>
      </c>
      <c r="J30" s="34" t="s">
        <v>42</v>
      </c>
      <c r="K30" s="34"/>
    </row>
    <row r="31" customFormat="false" ht="19.5" hidden="false" customHeight="true" outlineLevel="0" collapsed="false">
      <c r="A31" s="33" t="s">
        <v>75</v>
      </c>
      <c r="B31" s="33"/>
      <c r="C31" s="33"/>
      <c r="D31" s="33"/>
      <c r="E31" s="33"/>
      <c r="F31" s="33"/>
      <c r="G31" s="33"/>
      <c r="H31" s="33"/>
      <c r="I31" s="33"/>
      <c r="J31" s="33"/>
      <c r="K31" s="33"/>
    </row>
    <row r="32" customFormat="false" ht="18" hidden="false" customHeight="true" outlineLevel="0" collapsed="false">
      <c r="A32" s="38" t="n">
        <v>22</v>
      </c>
      <c r="B32" s="38" t="s">
        <v>76</v>
      </c>
      <c r="C32" s="38" t="s">
        <v>77</v>
      </c>
      <c r="D32" s="38"/>
      <c r="E32" s="39" t="n">
        <v>4000</v>
      </c>
      <c r="F32" s="40" t="n">
        <f aca="false">IFERROR(E32/E$58,0)</f>
        <v>0.0133689839572193</v>
      </c>
      <c r="G32" s="39" t="n">
        <v>4000</v>
      </c>
      <c r="H32" s="39" t="n">
        <v>2000</v>
      </c>
      <c r="I32" s="41" t="n">
        <f aca="false">IFERROR(G32-H32,0)</f>
        <v>2000</v>
      </c>
      <c r="J32" s="38" t="s">
        <v>42</v>
      </c>
      <c r="K32" s="38"/>
    </row>
    <row r="33" customFormat="false" ht="18" hidden="false" customHeight="true" outlineLevel="0" collapsed="false">
      <c r="A33" s="34" t="n">
        <v>23</v>
      </c>
      <c r="B33" s="34" t="s">
        <v>76</v>
      </c>
      <c r="C33" s="34" t="s">
        <v>78</v>
      </c>
      <c r="D33" s="34"/>
      <c r="E33" s="35" t="n">
        <v>3000</v>
      </c>
      <c r="F33" s="36" t="n">
        <f aca="false">IFERROR(E33/E$58,0)</f>
        <v>0.0100267379679144</v>
      </c>
      <c r="G33" s="35" t="n">
        <v>3000</v>
      </c>
      <c r="H33" s="35" t="n">
        <v>3000</v>
      </c>
      <c r="I33" s="37" t="n">
        <f aca="false">IFERROR(G33-H33,0)</f>
        <v>0</v>
      </c>
      <c r="J33" s="34" t="s">
        <v>47</v>
      </c>
      <c r="K33" s="34"/>
    </row>
    <row r="34" customFormat="false" ht="19.5" hidden="false" customHeight="true" outlineLevel="0" collapsed="false">
      <c r="A34" s="33" t="s">
        <v>79</v>
      </c>
      <c r="B34" s="33"/>
      <c r="C34" s="33"/>
      <c r="D34" s="33"/>
      <c r="E34" s="33"/>
      <c r="F34" s="33"/>
      <c r="G34" s="33"/>
      <c r="H34" s="33"/>
      <c r="I34" s="33"/>
      <c r="J34" s="33"/>
      <c r="K34" s="33"/>
    </row>
    <row r="35" customFormat="false" ht="18" hidden="false" customHeight="true" outlineLevel="0" collapsed="false">
      <c r="A35" s="38" t="n">
        <v>24</v>
      </c>
      <c r="B35" s="38" t="s">
        <v>80</v>
      </c>
      <c r="C35" s="38" t="s">
        <v>81</v>
      </c>
      <c r="D35" s="38"/>
      <c r="E35" s="39" t="n">
        <v>15000</v>
      </c>
      <c r="F35" s="40" t="n">
        <f aca="false">IFERROR(E35/E$58,0)</f>
        <v>0.0501336898395722</v>
      </c>
      <c r="G35" s="39" t="n">
        <v>15000</v>
      </c>
      <c r="H35" s="39" t="n">
        <v>7000</v>
      </c>
      <c r="I35" s="41" t="n">
        <f aca="false">IFERROR(G35-H35,0)</f>
        <v>8000</v>
      </c>
      <c r="J35" s="38" t="s">
        <v>42</v>
      </c>
      <c r="K35" s="38"/>
    </row>
    <row r="36" customFormat="false" ht="18" hidden="false" customHeight="true" outlineLevel="0" collapsed="false">
      <c r="A36" s="34" t="n">
        <v>25</v>
      </c>
      <c r="B36" s="34" t="s">
        <v>80</v>
      </c>
      <c r="C36" s="34" t="s">
        <v>82</v>
      </c>
      <c r="D36" s="34"/>
      <c r="E36" s="35" t="n">
        <v>8000</v>
      </c>
      <c r="F36" s="36" t="n">
        <f aca="false">IFERROR(E36/E$58,0)</f>
        <v>0.0267379679144385</v>
      </c>
      <c r="G36" s="35" t="n">
        <v>8000</v>
      </c>
      <c r="H36" s="35" t="n">
        <v>4000</v>
      </c>
      <c r="I36" s="37" t="n">
        <f aca="false">IFERROR(G36-H36,0)</f>
        <v>4000</v>
      </c>
      <c r="J36" s="34" t="s">
        <v>42</v>
      </c>
      <c r="K36" s="34"/>
    </row>
    <row r="37" customFormat="false" ht="18" hidden="false" customHeight="true" outlineLevel="0" collapsed="false">
      <c r="A37" s="38" t="n">
        <v>26</v>
      </c>
      <c r="B37" s="38" t="s">
        <v>80</v>
      </c>
      <c r="C37" s="38" t="s">
        <v>83</v>
      </c>
      <c r="D37" s="38"/>
      <c r="E37" s="39" t="n">
        <v>5000</v>
      </c>
      <c r="F37" s="40" t="n">
        <f aca="false">IFERROR(E37/E$58,0)</f>
        <v>0.0167112299465241</v>
      </c>
      <c r="G37" s="39" t="n">
        <v>5000</v>
      </c>
      <c r="H37" s="39" t="n">
        <v>2500</v>
      </c>
      <c r="I37" s="41" t="n">
        <f aca="false">IFERROR(G37-H37,0)</f>
        <v>2500</v>
      </c>
      <c r="J37" s="38" t="s">
        <v>42</v>
      </c>
      <c r="K37" s="38"/>
    </row>
    <row r="38" customFormat="false" ht="18" hidden="false" customHeight="true" outlineLevel="0" collapsed="false">
      <c r="A38" s="34" t="n">
        <v>27</v>
      </c>
      <c r="B38" s="34" t="s">
        <v>80</v>
      </c>
      <c r="C38" s="34" t="s">
        <v>84</v>
      </c>
      <c r="D38" s="34"/>
      <c r="E38" s="35" t="n">
        <v>4000</v>
      </c>
      <c r="F38" s="36" t="n">
        <f aca="false">IFERROR(E38/E$58,0)</f>
        <v>0.0133689839572193</v>
      </c>
      <c r="G38" s="35" t="n">
        <v>4000</v>
      </c>
      <c r="H38" s="35" t="n">
        <v>0</v>
      </c>
      <c r="I38" s="37" t="n">
        <f aca="false">IFERROR(G38-H38,0)</f>
        <v>4000</v>
      </c>
      <c r="J38" s="34" t="s">
        <v>45</v>
      </c>
      <c r="K38" s="34"/>
    </row>
    <row r="39" customFormat="false" ht="19.5" hidden="false" customHeight="true" outlineLevel="0" collapsed="false">
      <c r="A39" s="33" t="s">
        <v>85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</row>
    <row r="40" customFormat="false" ht="18" hidden="false" customHeight="true" outlineLevel="0" collapsed="false">
      <c r="A40" s="38" t="n">
        <v>28</v>
      </c>
      <c r="B40" s="38" t="s">
        <v>86</v>
      </c>
      <c r="C40" s="38" t="s">
        <v>87</v>
      </c>
      <c r="D40" s="38"/>
      <c r="E40" s="39" t="n">
        <v>3500</v>
      </c>
      <c r="F40" s="40" t="n">
        <f aca="false">IFERROR(E40/E$58,0)</f>
        <v>0.0116978609625668</v>
      </c>
      <c r="G40" s="39" t="n">
        <v>3500</v>
      </c>
      <c r="H40" s="39" t="n">
        <v>3500</v>
      </c>
      <c r="I40" s="41" t="n">
        <f aca="false">IFERROR(G40-H40,0)</f>
        <v>0</v>
      </c>
      <c r="J40" s="38" t="s">
        <v>47</v>
      </c>
      <c r="K40" s="38"/>
    </row>
    <row r="41" customFormat="false" ht="18" hidden="false" customHeight="true" outlineLevel="0" collapsed="false">
      <c r="A41" s="34" t="n">
        <v>29</v>
      </c>
      <c r="B41" s="34" t="s">
        <v>86</v>
      </c>
      <c r="C41" s="34" t="s">
        <v>88</v>
      </c>
      <c r="D41" s="34"/>
      <c r="E41" s="35" t="n">
        <v>1500</v>
      </c>
      <c r="F41" s="36" t="n">
        <f aca="false">IFERROR(E41/E$58,0)</f>
        <v>0.00501336898395722</v>
      </c>
      <c r="G41" s="35" t="n">
        <v>1500</v>
      </c>
      <c r="H41" s="35" t="n">
        <v>1500</v>
      </c>
      <c r="I41" s="37" t="n">
        <f aca="false">IFERROR(G41-H41,0)</f>
        <v>0</v>
      </c>
      <c r="J41" s="34" t="s">
        <v>47</v>
      </c>
      <c r="K41" s="34"/>
    </row>
    <row r="42" customFormat="false" ht="18" hidden="false" customHeight="true" outlineLevel="0" collapsed="false">
      <c r="A42" s="38" t="n">
        <v>30</v>
      </c>
      <c r="B42" s="38" t="s">
        <v>86</v>
      </c>
      <c r="C42" s="38" t="s">
        <v>89</v>
      </c>
      <c r="D42" s="38"/>
      <c r="E42" s="39" t="n">
        <v>1200</v>
      </c>
      <c r="F42" s="40" t="n">
        <f aca="false">IFERROR(E42/E$58,0)</f>
        <v>0.00401069518716578</v>
      </c>
      <c r="G42" s="39" t="n">
        <v>1200</v>
      </c>
      <c r="H42" s="39" t="n">
        <v>0</v>
      </c>
      <c r="I42" s="41" t="n">
        <f aca="false">IFERROR(G42-H42,0)</f>
        <v>1200</v>
      </c>
      <c r="J42" s="38" t="s">
        <v>45</v>
      </c>
      <c r="K42" s="38"/>
    </row>
    <row r="43" customFormat="false" ht="19.5" hidden="false" customHeight="true" outlineLevel="0" collapsed="false">
      <c r="A43" s="33" t="s">
        <v>90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</row>
    <row r="44" customFormat="false" ht="18" hidden="false" customHeight="true" outlineLevel="0" collapsed="false">
      <c r="A44" s="34" t="n">
        <v>31</v>
      </c>
      <c r="B44" s="34" t="s">
        <v>91</v>
      </c>
      <c r="C44" s="34" t="s">
        <v>92</v>
      </c>
      <c r="D44" s="34"/>
      <c r="E44" s="35" t="n">
        <v>5000</v>
      </c>
      <c r="F44" s="36" t="n">
        <f aca="false">IFERROR(E44/E$58,0)</f>
        <v>0.0167112299465241</v>
      </c>
      <c r="G44" s="35" t="n">
        <v>5000</v>
      </c>
      <c r="H44" s="35" t="n">
        <v>2500</v>
      </c>
      <c r="I44" s="37" t="n">
        <f aca="false">IFERROR(G44-H44,0)</f>
        <v>2500</v>
      </c>
      <c r="J44" s="34" t="s">
        <v>42</v>
      </c>
      <c r="K44" s="34"/>
    </row>
    <row r="45" customFormat="false" ht="18" hidden="false" customHeight="true" outlineLevel="0" collapsed="false">
      <c r="A45" s="38" t="n">
        <v>32</v>
      </c>
      <c r="B45" s="38" t="s">
        <v>91</v>
      </c>
      <c r="C45" s="38" t="s">
        <v>93</v>
      </c>
      <c r="D45" s="38"/>
      <c r="E45" s="39" t="n">
        <v>4500</v>
      </c>
      <c r="F45" s="40" t="n">
        <f aca="false">IFERROR(E45/E$58,0)</f>
        <v>0.0150401069518717</v>
      </c>
      <c r="G45" s="39" t="n">
        <v>4500</v>
      </c>
      <c r="H45" s="39" t="n">
        <v>4500</v>
      </c>
      <c r="I45" s="41" t="n">
        <f aca="false">IFERROR(G45-H45,0)</f>
        <v>0</v>
      </c>
      <c r="J45" s="38" t="s">
        <v>47</v>
      </c>
      <c r="K45" s="38"/>
    </row>
    <row r="46" customFormat="false" ht="19.5" hidden="false" customHeight="true" outlineLevel="0" collapsed="false">
      <c r="A46" s="33" t="s">
        <v>94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</row>
    <row r="47" customFormat="false" ht="18" hidden="false" customHeight="true" outlineLevel="0" collapsed="false">
      <c r="A47" s="34" t="n">
        <v>33</v>
      </c>
      <c r="B47" s="34" t="s">
        <v>95</v>
      </c>
      <c r="C47" s="34" t="s">
        <v>96</v>
      </c>
      <c r="D47" s="34"/>
      <c r="E47" s="35" t="n">
        <v>8000</v>
      </c>
      <c r="F47" s="36" t="n">
        <f aca="false">IFERROR(E47/E$58,0)</f>
        <v>0.0267379679144385</v>
      </c>
      <c r="G47" s="35" t="n">
        <v>8000</v>
      </c>
      <c r="H47" s="35" t="n">
        <v>0</v>
      </c>
      <c r="I47" s="37" t="n">
        <f aca="false">IFERROR(G47-H47,0)</f>
        <v>8000</v>
      </c>
      <c r="J47" s="34" t="s">
        <v>45</v>
      </c>
      <c r="K47" s="34"/>
    </row>
    <row r="48" customFormat="false" ht="18" hidden="false" customHeight="true" outlineLevel="0" collapsed="false">
      <c r="A48" s="38" t="n">
        <v>34</v>
      </c>
      <c r="B48" s="38" t="s">
        <v>95</v>
      </c>
      <c r="C48" s="38" t="s">
        <v>97</v>
      </c>
      <c r="D48" s="38"/>
      <c r="E48" s="39" t="n">
        <v>3200</v>
      </c>
      <c r="F48" s="40" t="n">
        <f aca="false">IFERROR(E48/E$58,0)</f>
        <v>0.0106951871657754</v>
      </c>
      <c r="G48" s="39" t="n">
        <v>3200</v>
      </c>
      <c r="H48" s="39" t="n">
        <v>0</v>
      </c>
      <c r="I48" s="41" t="n">
        <f aca="false">IFERROR(G48-H48,0)</f>
        <v>3200</v>
      </c>
      <c r="J48" s="38" t="s">
        <v>45</v>
      </c>
      <c r="K48" s="38"/>
    </row>
    <row r="49" customFormat="false" ht="18" hidden="false" customHeight="true" outlineLevel="0" collapsed="false">
      <c r="A49" s="34" t="n">
        <v>35</v>
      </c>
      <c r="B49" s="34" t="s">
        <v>95</v>
      </c>
      <c r="C49" s="34" t="s">
        <v>98</v>
      </c>
      <c r="D49" s="34"/>
      <c r="E49" s="35" t="n">
        <v>5000</v>
      </c>
      <c r="F49" s="36" t="n">
        <f aca="false">IFERROR(E49/E$58,0)</f>
        <v>0.0167112299465241</v>
      </c>
      <c r="G49" s="35" t="n">
        <v>5000</v>
      </c>
      <c r="H49" s="35" t="n">
        <v>5000</v>
      </c>
      <c r="I49" s="37" t="n">
        <f aca="false">IFERROR(G49-H49,0)</f>
        <v>0</v>
      </c>
      <c r="J49" s="34" t="s">
        <v>47</v>
      </c>
      <c r="K49" s="34"/>
    </row>
    <row r="50" customFormat="false" ht="19.5" hidden="false" customHeight="true" outlineLevel="0" collapsed="false">
      <c r="A50" s="33" t="s">
        <v>99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</row>
    <row r="51" customFormat="false" ht="18" hidden="false" customHeight="true" outlineLevel="0" collapsed="false">
      <c r="A51" s="38" t="n">
        <v>36</v>
      </c>
      <c r="B51" s="38" t="s">
        <v>100</v>
      </c>
      <c r="C51" s="38" t="s">
        <v>101</v>
      </c>
      <c r="D51" s="38"/>
      <c r="E51" s="39" t="n">
        <v>4500</v>
      </c>
      <c r="F51" s="40" t="n">
        <f aca="false">IFERROR(E51/E$58,0)</f>
        <v>0.0150401069518717</v>
      </c>
      <c r="G51" s="39" t="n">
        <v>4500</v>
      </c>
      <c r="H51" s="39" t="n">
        <v>0</v>
      </c>
      <c r="I51" s="41" t="n">
        <f aca="false">IFERROR(G51-H51,0)</f>
        <v>4500</v>
      </c>
      <c r="J51" s="38" t="s">
        <v>45</v>
      </c>
      <c r="K51" s="38"/>
    </row>
    <row r="52" customFormat="false" ht="18" hidden="false" customHeight="true" outlineLevel="0" collapsed="false">
      <c r="A52" s="34" t="n">
        <v>37</v>
      </c>
      <c r="B52" s="34" t="s">
        <v>100</v>
      </c>
      <c r="C52" s="34" t="s">
        <v>102</v>
      </c>
      <c r="D52" s="34"/>
      <c r="E52" s="35" t="n">
        <v>2500</v>
      </c>
      <c r="F52" s="36" t="n">
        <f aca="false">IFERROR(E52/E$58,0)</f>
        <v>0.00835561497326203</v>
      </c>
      <c r="G52" s="35" t="n">
        <v>2500</v>
      </c>
      <c r="H52" s="35" t="n">
        <v>2500</v>
      </c>
      <c r="I52" s="37" t="n">
        <f aca="false">IFERROR(G52-H52,0)</f>
        <v>0</v>
      </c>
      <c r="J52" s="34" t="s">
        <v>47</v>
      </c>
      <c r="K52" s="34"/>
    </row>
    <row r="53" customFormat="false" ht="18" hidden="false" customHeight="true" outlineLevel="0" collapsed="false">
      <c r="A53" s="38" t="n">
        <v>38</v>
      </c>
      <c r="B53" s="38" t="s">
        <v>100</v>
      </c>
      <c r="C53" s="38" t="s">
        <v>103</v>
      </c>
      <c r="D53" s="38"/>
      <c r="E53" s="39" t="n">
        <v>3000</v>
      </c>
      <c r="F53" s="40" t="n">
        <f aca="false">IFERROR(E53/E$58,0)</f>
        <v>0.0100267379679144</v>
      </c>
      <c r="G53" s="39" t="n">
        <v>3000</v>
      </c>
      <c r="H53" s="39" t="n">
        <v>0</v>
      </c>
      <c r="I53" s="41" t="n">
        <f aca="false">IFERROR(G53-H53,0)</f>
        <v>3000</v>
      </c>
      <c r="J53" s="38" t="s">
        <v>45</v>
      </c>
      <c r="K53" s="38"/>
    </row>
    <row r="54" customFormat="false" ht="19.5" hidden="false" customHeight="true" outlineLevel="0" collapsed="false">
      <c r="A54" s="33" t="s">
        <v>104</v>
      </c>
      <c r="B54" s="33"/>
      <c r="C54" s="33"/>
      <c r="D54" s="33"/>
      <c r="E54" s="33"/>
      <c r="F54" s="33"/>
      <c r="G54" s="33"/>
      <c r="H54" s="33"/>
      <c r="I54" s="33"/>
      <c r="J54" s="33"/>
      <c r="K54" s="33"/>
    </row>
    <row r="55" customFormat="false" ht="18" hidden="false" customHeight="true" outlineLevel="0" collapsed="false">
      <c r="A55" s="34" t="n">
        <v>39</v>
      </c>
      <c r="B55" s="34" t="s">
        <v>105</v>
      </c>
      <c r="C55" s="34" t="s">
        <v>106</v>
      </c>
      <c r="D55" s="34"/>
      <c r="E55" s="35" t="n">
        <v>2000</v>
      </c>
      <c r="F55" s="36" t="n">
        <f aca="false">IFERROR(E55/E$58,0)</f>
        <v>0.00668449197860963</v>
      </c>
      <c r="G55" s="35" t="n">
        <v>2000</v>
      </c>
      <c r="H55" s="35" t="n">
        <v>2000</v>
      </c>
      <c r="I55" s="37" t="n">
        <f aca="false">IFERROR(G55-H55,0)</f>
        <v>0</v>
      </c>
      <c r="J55" s="34" t="s">
        <v>47</v>
      </c>
      <c r="K55" s="34"/>
    </row>
    <row r="56" customFormat="false" ht="18" hidden="false" customHeight="true" outlineLevel="0" collapsed="false">
      <c r="A56" s="38" t="n">
        <v>40</v>
      </c>
      <c r="B56" s="38" t="s">
        <v>105</v>
      </c>
      <c r="C56" s="38" t="s">
        <v>107</v>
      </c>
      <c r="D56" s="38"/>
      <c r="E56" s="39" t="n">
        <v>5000</v>
      </c>
      <c r="F56" s="40" t="n">
        <f aca="false">IFERROR(E56/E$58,0)</f>
        <v>0.0167112299465241</v>
      </c>
      <c r="G56" s="39" t="n">
        <v>0</v>
      </c>
      <c r="H56" s="39" t="n">
        <v>0</v>
      </c>
      <c r="I56" s="41" t="n">
        <f aca="false">IFERROR(G56-H56,0)</f>
        <v>0</v>
      </c>
      <c r="J56" s="38" t="s">
        <v>45</v>
      </c>
      <c r="K56" s="38"/>
    </row>
    <row r="57" customFormat="false" ht="6" hidden="false" customHeight="true" outlineLevel="0" collapsed="false"/>
    <row r="58" customFormat="false" ht="15" hidden="false" customHeight="true" outlineLevel="0" collapsed="false">
      <c r="A58" s="42" t="s">
        <v>108</v>
      </c>
      <c r="B58" s="42"/>
      <c r="C58" s="42"/>
      <c r="D58" s="42"/>
      <c r="E58" s="43" t="n">
        <f aca="false">SUM(E4:E57)</f>
        <v>299200</v>
      </c>
      <c r="F58" s="44" t="str">
        <f aca="false">"100%"</f>
        <v>100%</v>
      </c>
      <c r="G58" s="43" t="n">
        <f aca="false">SUM(G4:G57)</f>
        <v>294700</v>
      </c>
      <c r="H58" s="43" t="n">
        <f aca="false">SUM(H4:H57)</f>
        <v>137800</v>
      </c>
      <c r="I58" s="43" t="n">
        <f aca="false">SUM(I4:I57)</f>
        <v>156900</v>
      </c>
    </row>
  </sheetData>
  <mergeCells count="16">
    <mergeCell ref="A1:L1"/>
    <mergeCell ref="A2:L2"/>
    <mergeCell ref="A4:K4"/>
    <mergeCell ref="A9:K9"/>
    <mergeCell ref="A14:K14"/>
    <mergeCell ref="A19:K19"/>
    <mergeCell ref="A23:K23"/>
    <mergeCell ref="A27:K27"/>
    <mergeCell ref="A31:K31"/>
    <mergeCell ref="A34:K34"/>
    <mergeCell ref="A39:K39"/>
    <mergeCell ref="A43:K43"/>
    <mergeCell ref="A46:K46"/>
    <mergeCell ref="A50:K50"/>
    <mergeCell ref="A54:K54"/>
    <mergeCell ref="A58:D58"/>
  </mergeCells>
  <dataValidations count="1">
    <dataValidation allowBlank="true" errorStyle="stop" operator="between" showDropDown="false" showErrorMessage="false" showInputMessage="false" sqref="J5:J8 J10:J13 J15:J18 J20:J22 J24:J26 J28:J30 J32:J33 J35:J38 J40:J42 J44:J45 J47:J49 J51:J53 J55:J56" type="list">
      <formula1>"Pendiente,Anticipo pagado,Pagado,Cancelado"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9E7E"/>
    <pageSetUpPr fitToPage="false"/>
  </sheetPr>
  <dimension ref="A1:J1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3" min="3" style="1" width="30"/>
    <col collapsed="false" customWidth="true" hidden="false" outlineLevel="0" max="4" min="4" style="1" width="32"/>
    <col collapsed="false" customWidth="true" hidden="false" outlineLevel="0" max="5" min="5" style="1" width="15"/>
    <col collapsed="false" customWidth="true" hidden="false" outlineLevel="0" max="6" min="6" style="1" width="12"/>
    <col collapsed="false" customWidth="true" hidden="false" outlineLevel="0" max="7" min="7" style="1" width="13"/>
    <col collapsed="false" customWidth="true" hidden="false" outlineLevel="0" max="8" min="8" style="1" width="28"/>
  </cols>
  <sheetData>
    <row r="1" customFormat="false" ht="30" hidden="false" customHeight="true" outlineLevel="0" collapsed="false">
      <c r="A1" s="45" t="s">
        <v>109</v>
      </c>
      <c r="B1" s="45"/>
      <c r="C1" s="45"/>
      <c r="D1" s="45"/>
      <c r="E1" s="45"/>
      <c r="F1" s="45"/>
      <c r="G1" s="45"/>
      <c r="H1" s="45"/>
      <c r="I1" s="45"/>
      <c r="J1" s="45"/>
    </row>
    <row r="2" customFormat="false" ht="18" hidden="false" customHeight="true" outlineLevel="0" collapsed="false">
      <c r="A2" s="31" t="s">
        <v>110</v>
      </c>
      <c r="B2" s="31"/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true" outlineLevel="0" collapsed="false">
      <c r="A3" s="46" t="s">
        <v>29</v>
      </c>
      <c r="B3" s="46" t="s">
        <v>30</v>
      </c>
      <c r="C3" s="46" t="s">
        <v>111</v>
      </c>
      <c r="D3" s="46" t="s">
        <v>32</v>
      </c>
      <c r="E3" s="46" t="s">
        <v>112</v>
      </c>
      <c r="F3" s="46" t="s">
        <v>113</v>
      </c>
      <c r="G3" s="46" t="s">
        <v>114</v>
      </c>
      <c r="H3" s="46" t="s">
        <v>38</v>
      </c>
    </row>
    <row r="4" customFormat="false" ht="19.5" hidden="false" customHeight="true" outlineLevel="0" collapsed="false">
      <c r="A4" s="47" t="s">
        <v>39</v>
      </c>
      <c r="B4" s="47"/>
      <c r="C4" s="47"/>
      <c r="D4" s="47"/>
      <c r="E4" s="47"/>
      <c r="F4" s="47"/>
      <c r="G4" s="47"/>
      <c r="H4" s="47"/>
    </row>
    <row r="5" customFormat="false" ht="18" hidden="false" customHeight="true" outlineLevel="0" collapsed="false">
      <c r="A5" s="48" t="n">
        <v>1</v>
      </c>
      <c r="B5" s="34" t="s">
        <v>40</v>
      </c>
      <c r="C5" s="34" t="s">
        <v>115</v>
      </c>
      <c r="D5" s="34" t="s">
        <v>116</v>
      </c>
      <c r="E5" s="35" t="n">
        <v>45000</v>
      </c>
      <c r="F5" s="49" t="s">
        <v>117</v>
      </c>
      <c r="G5" s="48" t="s">
        <v>118</v>
      </c>
      <c r="H5" s="34"/>
    </row>
    <row r="6" customFormat="false" ht="18" hidden="false" customHeight="true" outlineLevel="0" collapsed="false">
      <c r="A6" s="50" t="n">
        <v>2</v>
      </c>
      <c r="B6" s="38" t="s">
        <v>40</v>
      </c>
      <c r="C6" s="38" t="s">
        <v>119</v>
      </c>
      <c r="D6" s="38" t="s">
        <v>120</v>
      </c>
      <c r="E6" s="39" t="n">
        <v>40000</v>
      </c>
      <c r="F6" s="49" t="s">
        <v>117</v>
      </c>
      <c r="G6" s="50" t="s">
        <v>118</v>
      </c>
      <c r="H6" s="38"/>
    </row>
    <row r="7" customFormat="false" ht="18" hidden="false" customHeight="true" outlineLevel="0" collapsed="false">
      <c r="A7" s="48" t="n">
        <v>3</v>
      </c>
      <c r="B7" s="34" t="s">
        <v>40</v>
      </c>
      <c r="C7" s="34" t="s">
        <v>121</v>
      </c>
      <c r="D7" s="34" t="s">
        <v>122</v>
      </c>
      <c r="E7" s="35" t="n">
        <v>30000</v>
      </c>
      <c r="F7" s="51" t="s">
        <v>123</v>
      </c>
      <c r="G7" s="48" t="s">
        <v>118</v>
      </c>
      <c r="H7" s="34"/>
    </row>
    <row r="8" customFormat="false" ht="18" hidden="false" customHeight="true" outlineLevel="0" collapsed="false">
      <c r="A8" s="50" t="n">
        <v>4</v>
      </c>
      <c r="B8" s="38" t="s">
        <v>40</v>
      </c>
      <c r="C8" s="38" t="s">
        <v>124</v>
      </c>
      <c r="D8" s="38" t="s">
        <v>125</v>
      </c>
      <c r="E8" s="39" t="n">
        <v>2000</v>
      </c>
      <c r="F8" s="49" t="s">
        <v>117</v>
      </c>
      <c r="G8" s="50" t="s">
        <v>118</v>
      </c>
      <c r="H8" s="38"/>
    </row>
    <row r="9" customFormat="false" ht="18" hidden="false" customHeight="true" outlineLevel="0" collapsed="false">
      <c r="A9" s="48" t="n">
        <v>5</v>
      </c>
      <c r="B9" s="34" t="s">
        <v>40</v>
      </c>
      <c r="C9" s="34" t="s">
        <v>126</v>
      </c>
      <c r="D9" s="34" t="s">
        <v>127</v>
      </c>
      <c r="E9" s="35" t="n">
        <v>3500</v>
      </c>
      <c r="F9" s="49" t="s">
        <v>117</v>
      </c>
      <c r="G9" s="48" t="s">
        <v>118</v>
      </c>
      <c r="H9" s="34"/>
    </row>
    <row r="10" customFormat="false" ht="18" hidden="false" customHeight="true" outlineLevel="0" collapsed="false">
      <c r="A10" s="50" t="n">
        <v>6</v>
      </c>
      <c r="B10" s="38" t="s">
        <v>40</v>
      </c>
      <c r="C10" s="38" t="s">
        <v>128</v>
      </c>
      <c r="D10" s="38" t="s">
        <v>129</v>
      </c>
      <c r="E10" s="39" t="n">
        <v>2500</v>
      </c>
      <c r="F10" s="51" t="s">
        <v>123</v>
      </c>
      <c r="G10" s="50" t="s">
        <v>118</v>
      </c>
      <c r="H10" s="38"/>
    </row>
    <row r="11" customFormat="false" ht="18" hidden="false" customHeight="true" outlineLevel="0" collapsed="false">
      <c r="A11" s="48" t="n">
        <v>7</v>
      </c>
      <c r="B11" s="34" t="s">
        <v>40</v>
      </c>
      <c r="C11" s="34" t="s">
        <v>130</v>
      </c>
      <c r="D11" s="34" t="s">
        <v>131</v>
      </c>
      <c r="E11" s="35" t="n">
        <v>5000</v>
      </c>
      <c r="F11" s="51" t="s">
        <v>123</v>
      </c>
      <c r="G11" s="48" t="s">
        <v>118</v>
      </c>
      <c r="H11" s="34"/>
    </row>
    <row r="12" customFormat="false" ht="18" hidden="false" customHeight="true" outlineLevel="0" collapsed="false">
      <c r="A12" s="50" t="n">
        <v>8</v>
      </c>
      <c r="B12" s="38" t="s">
        <v>40</v>
      </c>
      <c r="C12" s="38" t="s">
        <v>132</v>
      </c>
      <c r="D12" s="38" t="s">
        <v>133</v>
      </c>
      <c r="E12" s="39" t="n">
        <v>4000</v>
      </c>
      <c r="F12" s="49" t="s">
        <v>117</v>
      </c>
      <c r="G12" s="50" t="s">
        <v>118</v>
      </c>
      <c r="H12" s="38"/>
    </row>
    <row r="13" customFormat="false" ht="18" hidden="false" customHeight="true" outlineLevel="0" collapsed="false">
      <c r="A13" s="48" t="n">
        <v>9</v>
      </c>
      <c r="B13" s="34" t="s">
        <v>40</v>
      </c>
      <c r="C13" s="34" t="s">
        <v>134</v>
      </c>
      <c r="D13" s="34" t="s">
        <v>135</v>
      </c>
      <c r="E13" s="35" t="n">
        <v>1500</v>
      </c>
      <c r="F13" s="49" t="s">
        <v>117</v>
      </c>
      <c r="G13" s="48" t="s">
        <v>118</v>
      </c>
      <c r="H13" s="34"/>
    </row>
    <row r="14" customFormat="false" ht="19.5" hidden="false" customHeight="true" outlineLevel="0" collapsed="false">
      <c r="A14" s="47" t="s">
        <v>48</v>
      </c>
      <c r="B14" s="47"/>
      <c r="C14" s="47"/>
      <c r="D14" s="47"/>
      <c r="E14" s="47"/>
      <c r="F14" s="47"/>
      <c r="G14" s="47"/>
      <c r="H14" s="47"/>
    </row>
    <row r="15" customFormat="false" ht="18" hidden="false" customHeight="true" outlineLevel="0" collapsed="false">
      <c r="A15" s="50" t="n">
        <v>10</v>
      </c>
      <c r="B15" s="38" t="s">
        <v>49</v>
      </c>
      <c r="C15" s="38" t="s">
        <v>136</v>
      </c>
      <c r="D15" s="38" t="s">
        <v>137</v>
      </c>
      <c r="E15" s="39" t="n">
        <v>35000</v>
      </c>
      <c r="F15" s="49" t="s">
        <v>117</v>
      </c>
      <c r="G15" s="50" t="s">
        <v>118</v>
      </c>
      <c r="H15" s="38"/>
    </row>
    <row r="16" customFormat="false" ht="18" hidden="false" customHeight="true" outlineLevel="0" collapsed="false">
      <c r="A16" s="48" t="n">
        <v>11</v>
      </c>
      <c r="B16" s="34" t="s">
        <v>49</v>
      </c>
      <c r="C16" s="34" t="s">
        <v>138</v>
      </c>
      <c r="D16" s="34" t="s">
        <v>139</v>
      </c>
      <c r="E16" s="35" t="n">
        <v>28000</v>
      </c>
      <c r="F16" s="49" t="s">
        <v>117</v>
      </c>
      <c r="G16" s="48" t="s">
        <v>118</v>
      </c>
      <c r="H16" s="34"/>
    </row>
    <row r="17" customFormat="false" ht="18" hidden="false" customHeight="true" outlineLevel="0" collapsed="false">
      <c r="A17" s="50" t="n">
        <v>12</v>
      </c>
      <c r="B17" s="38" t="s">
        <v>49</v>
      </c>
      <c r="C17" s="38" t="s">
        <v>140</v>
      </c>
      <c r="D17" s="38" t="s">
        <v>141</v>
      </c>
      <c r="E17" s="39" t="n">
        <v>8000</v>
      </c>
      <c r="F17" s="49" t="s">
        <v>117</v>
      </c>
      <c r="G17" s="50" t="s">
        <v>118</v>
      </c>
      <c r="H17" s="38"/>
    </row>
    <row r="18" customFormat="false" ht="18" hidden="false" customHeight="true" outlineLevel="0" collapsed="false">
      <c r="A18" s="48" t="n">
        <v>13</v>
      </c>
      <c r="B18" s="34" t="s">
        <v>49</v>
      </c>
      <c r="C18" s="34" t="s">
        <v>142</v>
      </c>
      <c r="D18" s="34" t="s">
        <v>143</v>
      </c>
      <c r="E18" s="35" t="n">
        <v>4500</v>
      </c>
      <c r="F18" s="51" t="s">
        <v>123</v>
      </c>
      <c r="G18" s="48" t="s">
        <v>118</v>
      </c>
      <c r="H18" s="34"/>
    </row>
    <row r="19" customFormat="false" ht="18" hidden="false" customHeight="true" outlineLevel="0" collapsed="false">
      <c r="A19" s="50" t="n">
        <v>14</v>
      </c>
      <c r="B19" s="38" t="s">
        <v>49</v>
      </c>
      <c r="C19" s="38" t="s">
        <v>144</v>
      </c>
      <c r="D19" s="38" t="s">
        <v>145</v>
      </c>
      <c r="E19" s="39" t="n">
        <v>8000</v>
      </c>
      <c r="F19" s="49" t="s">
        <v>117</v>
      </c>
      <c r="G19" s="50" t="s">
        <v>118</v>
      </c>
      <c r="H19" s="38"/>
    </row>
    <row r="20" customFormat="false" ht="18" hidden="false" customHeight="true" outlineLevel="0" collapsed="false">
      <c r="A20" s="48" t="n">
        <v>15</v>
      </c>
      <c r="B20" s="34" t="s">
        <v>49</v>
      </c>
      <c r="C20" s="34" t="s">
        <v>146</v>
      </c>
      <c r="D20" s="34" t="s">
        <v>147</v>
      </c>
      <c r="E20" s="35" t="n">
        <v>3500</v>
      </c>
      <c r="F20" s="51" t="s">
        <v>123</v>
      </c>
      <c r="G20" s="48" t="s">
        <v>118</v>
      </c>
      <c r="H20" s="34"/>
    </row>
    <row r="21" customFormat="false" ht="18" hidden="false" customHeight="true" outlineLevel="0" collapsed="false">
      <c r="A21" s="50" t="n">
        <v>16</v>
      </c>
      <c r="B21" s="38" t="s">
        <v>49</v>
      </c>
      <c r="C21" s="38" t="s">
        <v>148</v>
      </c>
      <c r="D21" s="38" t="s">
        <v>149</v>
      </c>
      <c r="E21" s="39" t="n">
        <v>12000</v>
      </c>
      <c r="F21" s="49" t="s">
        <v>117</v>
      </c>
      <c r="G21" s="50" t="s">
        <v>118</v>
      </c>
      <c r="H21" s="38"/>
    </row>
    <row r="22" customFormat="false" ht="18" hidden="false" customHeight="true" outlineLevel="0" collapsed="false">
      <c r="A22" s="48" t="n">
        <v>17</v>
      </c>
      <c r="B22" s="34" t="s">
        <v>49</v>
      </c>
      <c r="C22" s="34" t="s">
        <v>150</v>
      </c>
      <c r="D22" s="34" t="s">
        <v>151</v>
      </c>
      <c r="E22" s="35" t="n">
        <v>5000</v>
      </c>
      <c r="F22" s="51" t="s">
        <v>123</v>
      </c>
      <c r="G22" s="48" t="s">
        <v>118</v>
      </c>
      <c r="H22" s="34"/>
    </row>
    <row r="23" customFormat="false" ht="18" hidden="false" customHeight="true" outlineLevel="0" collapsed="false">
      <c r="A23" s="50" t="n">
        <v>18</v>
      </c>
      <c r="B23" s="38" t="s">
        <v>49</v>
      </c>
      <c r="C23" s="38" t="s">
        <v>152</v>
      </c>
      <c r="D23" s="38" t="s">
        <v>153</v>
      </c>
      <c r="E23" s="39" t="n">
        <v>2000</v>
      </c>
      <c r="F23" s="52" t="s">
        <v>154</v>
      </c>
      <c r="G23" s="50" t="s">
        <v>118</v>
      </c>
      <c r="H23" s="38"/>
    </row>
    <row r="24" customFormat="false" ht="18" hidden="false" customHeight="true" outlineLevel="0" collapsed="false">
      <c r="A24" s="48" t="n">
        <v>19</v>
      </c>
      <c r="B24" s="34" t="s">
        <v>49</v>
      </c>
      <c r="C24" s="34" t="s">
        <v>155</v>
      </c>
      <c r="D24" s="34" t="s">
        <v>156</v>
      </c>
      <c r="E24" s="35" t="n">
        <v>6000</v>
      </c>
      <c r="F24" s="51" t="s">
        <v>123</v>
      </c>
      <c r="G24" s="48" t="s">
        <v>118</v>
      </c>
      <c r="H24" s="34"/>
    </row>
    <row r="25" customFormat="false" ht="19.5" hidden="false" customHeight="true" outlineLevel="0" collapsed="false">
      <c r="A25" s="47" t="s">
        <v>54</v>
      </c>
      <c r="B25" s="47"/>
      <c r="C25" s="47"/>
      <c r="D25" s="47"/>
      <c r="E25" s="47"/>
      <c r="F25" s="47"/>
      <c r="G25" s="47"/>
      <c r="H25" s="47"/>
    </row>
    <row r="26" customFormat="false" ht="18" hidden="false" customHeight="true" outlineLevel="0" collapsed="false">
      <c r="A26" s="50" t="n">
        <v>20</v>
      </c>
      <c r="B26" s="38" t="s">
        <v>55</v>
      </c>
      <c r="C26" s="38" t="s">
        <v>157</v>
      </c>
      <c r="D26" s="38" t="s">
        <v>158</v>
      </c>
      <c r="E26" s="39" t="n">
        <v>8000</v>
      </c>
      <c r="F26" s="49" t="s">
        <v>117</v>
      </c>
      <c r="G26" s="50" t="s">
        <v>118</v>
      </c>
      <c r="H26" s="38"/>
    </row>
    <row r="27" customFormat="false" ht="18" hidden="false" customHeight="true" outlineLevel="0" collapsed="false">
      <c r="A27" s="48" t="n">
        <v>21</v>
      </c>
      <c r="B27" s="34" t="s">
        <v>55</v>
      </c>
      <c r="C27" s="34" t="s">
        <v>159</v>
      </c>
      <c r="D27" s="34" t="s">
        <v>160</v>
      </c>
      <c r="E27" s="35" t="n">
        <v>15000</v>
      </c>
      <c r="F27" s="51" t="s">
        <v>123</v>
      </c>
      <c r="G27" s="48" t="s">
        <v>118</v>
      </c>
      <c r="H27" s="34"/>
    </row>
    <row r="28" customFormat="false" ht="18" hidden="false" customHeight="true" outlineLevel="0" collapsed="false">
      <c r="A28" s="50" t="n">
        <v>22</v>
      </c>
      <c r="B28" s="38" t="s">
        <v>55</v>
      </c>
      <c r="C28" s="38" t="s">
        <v>161</v>
      </c>
      <c r="D28" s="38" t="s">
        <v>162</v>
      </c>
      <c r="E28" s="39" t="n">
        <v>6000</v>
      </c>
      <c r="F28" s="51" t="s">
        <v>123</v>
      </c>
      <c r="G28" s="50" t="s">
        <v>118</v>
      </c>
      <c r="H28" s="38"/>
    </row>
    <row r="29" customFormat="false" ht="18" hidden="false" customHeight="true" outlineLevel="0" collapsed="false">
      <c r="A29" s="48" t="n">
        <v>23</v>
      </c>
      <c r="B29" s="34" t="s">
        <v>55</v>
      </c>
      <c r="C29" s="34" t="s">
        <v>163</v>
      </c>
      <c r="D29" s="34" t="s">
        <v>164</v>
      </c>
      <c r="E29" s="35" t="n">
        <v>3500</v>
      </c>
      <c r="F29" s="51" t="s">
        <v>123</v>
      </c>
      <c r="G29" s="48" t="s">
        <v>118</v>
      </c>
      <c r="H29" s="34"/>
    </row>
    <row r="30" customFormat="false" ht="18" hidden="false" customHeight="true" outlineLevel="0" collapsed="false">
      <c r="A30" s="50" t="n">
        <v>24</v>
      </c>
      <c r="B30" s="38" t="s">
        <v>55</v>
      </c>
      <c r="C30" s="38" t="s">
        <v>165</v>
      </c>
      <c r="D30" s="38" t="s">
        <v>166</v>
      </c>
      <c r="E30" s="39" t="n">
        <v>3000</v>
      </c>
      <c r="F30" s="51" t="s">
        <v>123</v>
      </c>
      <c r="G30" s="50" t="s">
        <v>118</v>
      </c>
      <c r="H30" s="38"/>
    </row>
    <row r="31" customFormat="false" ht="18" hidden="false" customHeight="true" outlineLevel="0" collapsed="false">
      <c r="A31" s="48" t="n">
        <v>25</v>
      </c>
      <c r="B31" s="34" t="s">
        <v>55</v>
      </c>
      <c r="C31" s="34" t="s">
        <v>167</v>
      </c>
      <c r="D31" s="34" t="s">
        <v>168</v>
      </c>
      <c r="E31" s="35" t="n">
        <v>5000</v>
      </c>
      <c r="F31" s="51" t="s">
        <v>123</v>
      </c>
      <c r="G31" s="48" t="s">
        <v>118</v>
      </c>
      <c r="H31" s="34"/>
    </row>
    <row r="32" customFormat="false" ht="18" hidden="false" customHeight="true" outlineLevel="0" collapsed="false">
      <c r="A32" s="50" t="n">
        <v>26</v>
      </c>
      <c r="B32" s="38" t="s">
        <v>55</v>
      </c>
      <c r="C32" s="38" t="s">
        <v>169</v>
      </c>
      <c r="D32" s="38" t="s">
        <v>170</v>
      </c>
      <c r="E32" s="39" t="n">
        <v>6000</v>
      </c>
      <c r="F32" s="51" t="s">
        <v>123</v>
      </c>
      <c r="G32" s="50" t="s">
        <v>118</v>
      </c>
      <c r="H32" s="38"/>
    </row>
    <row r="33" customFormat="false" ht="18" hidden="false" customHeight="true" outlineLevel="0" collapsed="false">
      <c r="A33" s="48" t="n">
        <v>27</v>
      </c>
      <c r="B33" s="34" t="s">
        <v>55</v>
      </c>
      <c r="C33" s="34" t="s">
        <v>171</v>
      </c>
      <c r="D33" s="34" t="s">
        <v>172</v>
      </c>
      <c r="E33" s="35" t="n">
        <v>3500</v>
      </c>
      <c r="F33" s="49" t="s">
        <v>117</v>
      </c>
      <c r="G33" s="48" t="s">
        <v>118</v>
      </c>
      <c r="H33" s="34"/>
    </row>
    <row r="34" customFormat="false" ht="18" hidden="false" customHeight="true" outlineLevel="0" collapsed="false">
      <c r="A34" s="50" t="n">
        <v>28</v>
      </c>
      <c r="B34" s="38" t="s">
        <v>55</v>
      </c>
      <c r="C34" s="38" t="s">
        <v>173</v>
      </c>
      <c r="D34" s="38" t="s">
        <v>174</v>
      </c>
      <c r="E34" s="39" t="n">
        <v>4500</v>
      </c>
      <c r="F34" s="51" t="s">
        <v>123</v>
      </c>
      <c r="G34" s="50" t="s">
        <v>118</v>
      </c>
      <c r="H34" s="38"/>
    </row>
    <row r="35" customFormat="false" ht="18" hidden="false" customHeight="true" outlineLevel="0" collapsed="false">
      <c r="A35" s="48" t="n">
        <v>29</v>
      </c>
      <c r="B35" s="34" t="s">
        <v>55</v>
      </c>
      <c r="C35" s="34" t="s">
        <v>175</v>
      </c>
      <c r="D35" s="34" t="s">
        <v>176</v>
      </c>
      <c r="E35" s="35" t="n">
        <v>5000</v>
      </c>
      <c r="F35" s="51" t="s">
        <v>123</v>
      </c>
      <c r="G35" s="48" t="s">
        <v>118</v>
      </c>
      <c r="H35" s="34"/>
    </row>
    <row r="36" customFormat="false" ht="18" hidden="false" customHeight="true" outlineLevel="0" collapsed="false">
      <c r="A36" s="50" t="n">
        <v>30</v>
      </c>
      <c r="B36" s="38" t="s">
        <v>55</v>
      </c>
      <c r="C36" s="38" t="s">
        <v>177</v>
      </c>
      <c r="D36" s="38" t="s">
        <v>178</v>
      </c>
      <c r="E36" s="39" t="n">
        <v>8000</v>
      </c>
      <c r="F36" s="51" t="s">
        <v>123</v>
      </c>
      <c r="G36" s="50" t="s">
        <v>118</v>
      </c>
      <c r="H36" s="38"/>
    </row>
    <row r="37" customFormat="false" ht="18" hidden="false" customHeight="true" outlineLevel="0" collapsed="false">
      <c r="A37" s="48" t="n">
        <v>31</v>
      </c>
      <c r="B37" s="34" t="s">
        <v>55</v>
      </c>
      <c r="C37" s="34" t="s">
        <v>179</v>
      </c>
      <c r="D37" s="34" t="s">
        <v>180</v>
      </c>
      <c r="E37" s="35" t="n">
        <v>7000</v>
      </c>
      <c r="F37" s="52" t="s">
        <v>154</v>
      </c>
      <c r="G37" s="48" t="s">
        <v>118</v>
      </c>
      <c r="H37" s="34"/>
    </row>
    <row r="38" customFormat="false" ht="19.5" hidden="false" customHeight="true" outlineLevel="0" collapsed="false">
      <c r="A38" s="47" t="s">
        <v>60</v>
      </c>
      <c r="B38" s="47"/>
      <c r="C38" s="47"/>
      <c r="D38" s="47"/>
      <c r="E38" s="47"/>
      <c r="F38" s="47"/>
      <c r="G38" s="47"/>
      <c r="H38" s="47"/>
    </row>
    <row r="39" customFormat="false" ht="18" hidden="false" customHeight="true" outlineLevel="0" collapsed="false">
      <c r="A39" s="50" t="n">
        <v>32</v>
      </c>
      <c r="B39" s="38" t="s">
        <v>61</v>
      </c>
      <c r="C39" s="38" t="s">
        <v>181</v>
      </c>
      <c r="D39" s="38" t="s">
        <v>182</v>
      </c>
      <c r="E39" s="39" t="n">
        <v>15000</v>
      </c>
      <c r="F39" s="49" t="s">
        <v>117</v>
      </c>
      <c r="G39" s="50" t="s">
        <v>118</v>
      </c>
      <c r="H39" s="38"/>
    </row>
    <row r="40" customFormat="false" ht="18" hidden="false" customHeight="true" outlineLevel="0" collapsed="false">
      <c r="A40" s="48" t="n">
        <v>33</v>
      </c>
      <c r="B40" s="34" t="s">
        <v>61</v>
      </c>
      <c r="C40" s="34" t="s">
        <v>183</v>
      </c>
      <c r="D40" s="34" t="s">
        <v>184</v>
      </c>
      <c r="E40" s="35" t="n">
        <v>12000</v>
      </c>
      <c r="F40" s="49" t="s">
        <v>117</v>
      </c>
      <c r="G40" s="48" t="s">
        <v>118</v>
      </c>
      <c r="H40" s="34"/>
    </row>
    <row r="41" customFormat="false" ht="18" hidden="false" customHeight="true" outlineLevel="0" collapsed="false">
      <c r="A41" s="50" t="n">
        <v>34</v>
      </c>
      <c r="B41" s="38" t="s">
        <v>61</v>
      </c>
      <c r="C41" s="38" t="s">
        <v>185</v>
      </c>
      <c r="D41" s="38" t="s">
        <v>186</v>
      </c>
      <c r="E41" s="39" t="n">
        <v>4000</v>
      </c>
      <c r="F41" s="51" t="s">
        <v>123</v>
      </c>
      <c r="G41" s="50" t="s">
        <v>118</v>
      </c>
      <c r="H41" s="38"/>
    </row>
    <row r="42" customFormat="false" ht="18" hidden="false" customHeight="true" outlineLevel="0" collapsed="false">
      <c r="A42" s="48" t="n">
        <v>35</v>
      </c>
      <c r="B42" s="34" t="s">
        <v>61</v>
      </c>
      <c r="C42" s="34" t="s">
        <v>187</v>
      </c>
      <c r="D42" s="34" t="s">
        <v>188</v>
      </c>
      <c r="E42" s="35" t="n">
        <v>3000</v>
      </c>
      <c r="F42" s="51" t="s">
        <v>123</v>
      </c>
      <c r="G42" s="48" t="s">
        <v>118</v>
      </c>
      <c r="H42" s="34"/>
    </row>
    <row r="43" customFormat="false" ht="18" hidden="false" customHeight="true" outlineLevel="0" collapsed="false">
      <c r="A43" s="50" t="n">
        <v>36</v>
      </c>
      <c r="B43" s="38" t="s">
        <v>61</v>
      </c>
      <c r="C43" s="38" t="s">
        <v>189</v>
      </c>
      <c r="D43" s="38" t="s">
        <v>190</v>
      </c>
      <c r="E43" s="39" t="n">
        <v>3500</v>
      </c>
      <c r="F43" s="51" t="s">
        <v>123</v>
      </c>
      <c r="G43" s="50" t="s">
        <v>118</v>
      </c>
      <c r="H43" s="38"/>
    </row>
    <row r="44" customFormat="false" ht="18" hidden="false" customHeight="true" outlineLevel="0" collapsed="false">
      <c r="A44" s="48" t="n">
        <v>37</v>
      </c>
      <c r="B44" s="34" t="s">
        <v>61</v>
      </c>
      <c r="C44" s="34" t="s">
        <v>191</v>
      </c>
      <c r="D44" s="34" t="s">
        <v>192</v>
      </c>
      <c r="E44" s="35" t="n">
        <v>4500</v>
      </c>
      <c r="F44" s="51" t="s">
        <v>123</v>
      </c>
      <c r="G44" s="48" t="s">
        <v>118</v>
      </c>
      <c r="H44" s="34"/>
    </row>
    <row r="45" customFormat="false" ht="19.5" hidden="false" customHeight="true" outlineLevel="0" collapsed="false">
      <c r="A45" s="47" t="s">
        <v>65</v>
      </c>
      <c r="B45" s="47"/>
      <c r="C45" s="47"/>
      <c r="D45" s="47"/>
      <c r="E45" s="47"/>
      <c r="F45" s="47"/>
      <c r="G45" s="47"/>
      <c r="H45" s="47"/>
    </row>
    <row r="46" customFormat="false" ht="18" hidden="false" customHeight="true" outlineLevel="0" collapsed="false">
      <c r="A46" s="50" t="n">
        <v>38</v>
      </c>
      <c r="B46" s="38" t="s">
        <v>66</v>
      </c>
      <c r="C46" s="38" t="s">
        <v>193</v>
      </c>
      <c r="D46" s="38" t="s">
        <v>194</v>
      </c>
      <c r="E46" s="39" t="n">
        <v>4500</v>
      </c>
      <c r="F46" s="49" t="s">
        <v>117</v>
      </c>
      <c r="G46" s="50" t="s">
        <v>118</v>
      </c>
      <c r="H46" s="38"/>
    </row>
    <row r="47" customFormat="false" ht="18" hidden="false" customHeight="true" outlineLevel="0" collapsed="false">
      <c r="A47" s="48" t="n">
        <v>39</v>
      </c>
      <c r="B47" s="34" t="s">
        <v>66</v>
      </c>
      <c r="C47" s="34" t="s">
        <v>195</v>
      </c>
      <c r="D47" s="34" t="s">
        <v>196</v>
      </c>
      <c r="E47" s="35" t="n">
        <v>3500</v>
      </c>
      <c r="F47" s="49" t="s">
        <v>117</v>
      </c>
      <c r="G47" s="48" t="s">
        <v>118</v>
      </c>
      <c r="H47" s="34"/>
    </row>
    <row r="48" customFormat="false" ht="18" hidden="false" customHeight="true" outlineLevel="0" collapsed="false">
      <c r="A48" s="50" t="n">
        <v>40</v>
      </c>
      <c r="B48" s="38" t="s">
        <v>66</v>
      </c>
      <c r="C48" s="38" t="s">
        <v>197</v>
      </c>
      <c r="D48" s="38" t="s">
        <v>198</v>
      </c>
      <c r="E48" s="39" t="n">
        <v>800</v>
      </c>
      <c r="F48" s="51" t="s">
        <v>123</v>
      </c>
      <c r="G48" s="50" t="s">
        <v>118</v>
      </c>
      <c r="H48" s="38"/>
    </row>
    <row r="49" customFormat="false" ht="18" hidden="false" customHeight="true" outlineLevel="0" collapsed="false">
      <c r="A49" s="48" t="n">
        <v>41</v>
      </c>
      <c r="B49" s="34" t="s">
        <v>66</v>
      </c>
      <c r="C49" s="34" t="s">
        <v>199</v>
      </c>
      <c r="D49" s="34" t="s">
        <v>200</v>
      </c>
      <c r="E49" s="35" t="n">
        <v>2500</v>
      </c>
      <c r="F49" s="51" t="s">
        <v>123</v>
      </c>
      <c r="G49" s="48" t="s">
        <v>118</v>
      </c>
      <c r="H49" s="34"/>
    </row>
    <row r="50" customFormat="false" ht="18" hidden="false" customHeight="true" outlineLevel="0" collapsed="false">
      <c r="A50" s="50" t="n">
        <v>42</v>
      </c>
      <c r="B50" s="38" t="s">
        <v>66</v>
      </c>
      <c r="C50" s="38" t="s">
        <v>201</v>
      </c>
      <c r="D50" s="38" t="s">
        <v>202</v>
      </c>
      <c r="E50" s="39" t="n">
        <v>1500</v>
      </c>
      <c r="F50" s="49" t="s">
        <v>117</v>
      </c>
      <c r="G50" s="50" t="s">
        <v>118</v>
      </c>
      <c r="H50" s="38"/>
    </row>
    <row r="51" customFormat="false" ht="19.5" hidden="false" customHeight="true" outlineLevel="0" collapsed="false">
      <c r="A51" s="47" t="s">
        <v>70</v>
      </c>
      <c r="B51" s="47"/>
      <c r="C51" s="47"/>
      <c r="D51" s="47"/>
      <c r="E51" s="47"/>
      <c r="F51" s="47"/>
      <c r="G51" s="47"/>
      <c r="H51" s="47"/>
    </row>
    <row r="52" customFormat="false" ht="18" hidden="false" customHeight="true" outlineLevel="0" collapsed="false">
      <c r="A52" s="48" t="n">
        <v>43</v>
      </c>
      <c r="B52" s="34" t="s">
        <v>71</v>
      </c>
      <c r="C52" s="34" t="s">
        <v>203</v>
      </c>
      <c r="D52" s="34" t="s">
        <v>204</v>
      </c>
      <c r="E52" s="35" t="n">
        <v>18000</v>
      </c>
      <c r="F52" s="49" t="s">
        <v>117</v>
      </c>
      <c r="G52" s="48" t="s">
        <v>118</v>
      </c>
      <c r="H52" s="34"/>
    </row>
    <row r="53" customFormat="false" ht="18" hidden="false" customHeight="true" outlineLevel="0" collapsed="false">
      <c r="A53" s="50" t="n">
        <v>44</v>
      </c>
      <c r="B53" s="38" t="s">
        <v>71</v>
      </c>
      <c r="C53" s="38" t="s">
        <v>205</v>
      </c>
      <c r="D53" s="38" t="s">
        <v>206</v>
      </c>
      <c r="E53" s="39" t="n">
        <v>6000</v>
      </c>
      <c r="F53" s="49" t="s">
        <v>117</v>
      </c>
      <c r="G53" s="50" t="s">
        <v>118</v>
      </c>
      <c r="H53" s="38"/>
    </row>
    <row r="54" customFormat="false" ht="18" hidden="false" customHeight="true" outlineLevel="0" collapsed="false">
      <c r="A54" s="48" t="n">
        <v>45</v>
      </c>
      <c r="B54" s="34" t="s">
        <v>71</v>
      </c>
      <c r="C54" s="34" t="s">
        <v>207</v>
      </c>
      <c r="D54" s="34" t="s">
        <v>208</v>
      </c>
      <c r="E54" s="35" t="n">
        <v>7500</v>
      </c>
      <c r="F54" s="51" t="s">
        <v>123</v>
      </c>
      <c r="G54" s="48" t="s">
        <v>118</v>
      </c>
      <c r="H54" s="34"/>
    </row>
    <row r="55" customFormat="false" ht="18" hidden="false" customHeight="true" outlineLevel="0" collapsed="false">
      <c r="A55" s="50" t="n">
        <v>46</v>
      </c>
      <c r="B55" s="38" t="s">
        <v>71</v>
      </c>
      <c r="C55" s="38" t="s">
        <v>209</v>
      </c>
      <c r="D55" s="38" t="s">
        <v>210</v>
      </c>
      <c r="E55" s="39" t="n">
        <v>3000</v>
      </c>
      <c r="F55" s="51" t="s">
        <v>123</v>
      </c>
      <c r="G55" s="50" t="s">
        <v>118</v>
      </c>
      <c r="H55" s="38"/>
    </row>
    <row r="56" customFormat="false" ht="18" hidden="false" customHeight="true" outlineLevel="0" collapsed="false">
      <c r="A56" s="48" t="n">
        <v>47</v>
      </c>
      <c r="B56" s="34" t="s">
        <v>71</v>
      </c>
      <c r="C56" s="34" t="s">
        <v>211</v>
      </c>
      <c r="D56" s="34" t="s">
        <v>212</v>
      </c>
      <c r="E56" s="35" t="n">
        <v>2500</v>
      </c>
      <c r="F56" s="51" t="s">
        <v>123</v>
      </c>
      <c r="G56" s="48" t="s">
        <v>118</v>
      </c>
      <c r="H56" s="34"/>
    </row>
    <row r="57" customFormat="false" ht="18" hidden="false" customHeight="true" outlineLevel="0" collapsed="false">
      <c r="A57" s="50" t="n">
        <v>48</v>
      </c>
      <c r="B57" s="38" t="s">
        <v>71</v>
      </c>
      <c r="C57" s="38" t="s">
        <v>213</v>
      </c>
      <c r="D57" s="38" t="s">
        <v>214</v>
      </c>
      <c r="E57" s="39" t="n">
        <v>2000</v>
      </c>
      <c r="F57" s="51" t="s">
        <v>123</v>
      </c>
      <c r="G57" s="50" t="s">
        <v>118</v>
      </c>
      <c r="H57" s="38"/>
    </row>
    <row r="58" customFormat="false" ht="18" hidden="false" customHeight="true" outlineLevel="0" collapsed="false">
      <c r="A58" s="48" t="n">
        <v>49</v>
      </c>
      <c r="B58" s="34" t="s">
        <v>71</v>
      </c>
      <c r="C58" s="34" t="s">
        <v>215</v>
      </c>
      <c r="D58" s="34" t="s">
        <v>216</v>
      </c>
      <c r="E58" s="35" t="n">
        <v>3000</v>
      </c>
      <c r="F58" s="51" t="s">
        <v>123</v>
      </c>
      <c r="G58" s="48" t="s">
        <v>118</v>
      </c>
      <c r="H58" s="34"/>
    </row>
    <row r="59" customFormat="false" ht="19.5" hidden="false" customHeight="true" outlineLevel="0" collapsed="false">
      <c r="A59" s="47" t="s">
        <v>75</v>
      </c>
      <c r="B59" s="47"/>
      <c r="C59" s="47"/>
      <c r="D59" s="47"/>
      <c r="E59" s="47"/>
      <c r="F59" s="47"/>
      <c r="G59" s="47"/>
      <c r="H59" s="47"/>
    </row>
    <row r="60" customFormat="false" ht="18" hidden="false" customHeight="true" outlineLevel="0" collapsed="false">
      <c r="A60" s="50" t="n">
        <v>50</v>
      </c>
      <c r="B60" s="38" t="s">
        <v>76</v>
      </c>
      <c r="C60" s="38" t="s">
        <v>217</v>
      </c>
      <c r="D60" s="38" t="s">
        <v>218</v>
      </c>
      <c r="E60" s="39" t="n">
        <v>4000</v>
      </c>
      <c r="F60" s="49" t="s">
        <v>117</v>
      </c>
      <c r="G60" s="50" t="s">
        <v>118</v>
      </c>
      <c r="H60" s="38"/>
    </row>
    <row r="61" customFormat="false" ht="18" hidden="false" customHeight="true" outlineLevel="0" collapsed="false">
      <c r="A61" s="48" t="n">
        <v>51</v>
      </c>
      <c r="B61" s="34" t="s">
        <v>76</v>
      </c>
      <c r="C61" s="34" t="s">
        <v>219</v>
      </c>
      <c r="D61" s="34" t="s">
        <v>220</v>
      </c>
      <c r="E61" s="35" t="n">
        <v>3000</v>
      </c>
      <c r="F61" s="49" t="s">
        <v>117</v>
      </c>
      <c r="G61" s="48" t="s">
        <v>118</v>
      </c>
      <c r="H61" s="34"/>
    </row>
    <row r="62" customFormat="false" ht="18" hidden="false" customHeight="true" outlineLevel="0" collapsed="false">
      <c r="A62" s="50" t="n">
        <v>52</v>
      </c>
      <c r="B62" s="38" t="s">
        <v>76</v>
      </c>
      <c r="C62" s="38" t="s">
        <v>221</v>
      </c>
      <c r="D62" s="38" t="s">
        <v>222</v>
      </c>
      <c r="E62" s="39" t="n">
        <v>1500</v>
      </c>
      <c r="F62" s="49" t="s">
        <v>117</v>
      </c>
      <c r="G62" s="50" t="s">
        <v>118</v>
      </c>
      <c r="H62" s="38"/>
    </row>
    <row r="63" customFormat="false" ht="18" hidden="false" customHeight="true" outlineLevel="0" collapsed="false">
      <c r="A63" s="48" t="n">
        <v>53</v>
      </c>
      <c r="B63" s="34" t="s">
        <v>76</v>
      </c>
      <c r="C63" s="34" t="s">
        <v>223</v>
      </c>
      <c r="D63" s="34" t="s">
        <v>224</v>
      </c>
      <c r="E63" s="35" t="n">
        <v>5000</v>
      </c>
      <c r="F63" s="51" t="s">
        <v>123</v>
      </c>
      <c r="G63" s="48" t="s">
        <v>118</v>
      </c>
      <c r="H63" s="34"/>
    </row>
    <row r="64" customFormat="false" ht="18" hidden="false" customHeight="true" outlineLevel="0" collapsed="false">
      <c r="A64" s="50" t="n">
        <v>54</v>
      </c>
      <c r="B64" s="38" t="s">
        <v>76</v>
      </c>
      <c r="C64" s="38" t="s">
        <v>225</v>
      </c>
      <c r="D64" s="38" t="s">
        <v>226</v>
      </c>
      <c r="E64" s="39" t="n">
        <v>4000</v>
      </c>
      <c r="F64" s="51" t="s">
        <v>123</v>
      </c>
      <c r="G64" s="50" t="s">
        <v>118</v>
      </c>
      <c r="H64" s="38"/>
    </row>
    <row r="65" customFormat="false" ht="19.5" hidden="false" customHeight="true" outlineLevel="0" collapsed="false">
      <c r="A65" s="47" t="s">
        <v>79</v>
      </c>
      <c r="B65" s="47"/>
      <c r="C65" s="47"/>
      <c r="D65" s="47"/>
      <c r="E65" s="47"/>
      <c r="F65" s="47"/>
      <c r="G65" s="47"/>
      <c r="H65" s="47"/>
    </row>
    <row r="66" customFormat="false" ht="18" hidden="false" customHeight="true" outlineLevel="0" collapsed="false">
      <c r="A66" s="48" t="n">
        <v>55</v>
      </c>
      <c r="B66" s="34" t="s">
        <v>80</v>
      </c>
      <c r="C66" s="34" t="s">
        <v>227</v>
      </c>
      <c r="D66" s="34" t="s">
        <v>228</v>
      </c>
      <c r="E66" s="35" t="n">
        <v>15000</v>
      </c>
      <c r="F66" s="49" t="s">
        <v>117</v>
      </c>
      <c r="G66" s="48" t="s">
        <v>118</v>
      </c>
      <c r="H66" s="34"/>
    </row>
    <row r="67" customFormat="false" ht="18" hidden="false" customHeight="true" outlineLevel="0" collapsed="false">
      <c r="A67" s="50" t="n">
        <v>56</v>
      </c>
      <c r="B67" s="38" t="s">
        <v>80</v>
      </c>
      <c r="C67" s="38" t="s">
        <v>229</v>
      </c>
      <c r="D67" s="38" t="s">
        <v>230</v>
      </c>
      <c r="E67" s="39" t="n">
        <v>15000</v>
      </c>
      <c r="F67" s="49" t="s">
        <v>117</v>
      </c>
      <c r="G67" s="50" t="s">
        <v>118</v>
      </c>
      <c r="H67" s="38"/>
    </row>
    <row r="68" customFormat="false" ht="18" hidden="false" customHeight="true" outlineLevel="0" collapsed="false">
      <c r="A68" s="48" t="n">
        <v>57</v>
      </c>
      <c r="B68" s="34" t="s">
        <v>80</v>
      </c>
      <c r="C68" s="34" t="s">
        <v>231</v>
      </c>
      <c r="D68" s="34" t="s">
        <v>232</v>
      </c>
      <c r="E68" s="35" t="n">
        <v>8000</v>
      </c>
      <c r="F68" s="49" t="s">
        <v>117</v>
      </c>
      <c r="G68" s="48" t="s">
        <v>118</v>
      </c>
      <c r="H68" s="34"/>
    </row>
    <row r="69" customFormat="false" ht="18" hidden="false" customHeight="true" outlineLevel="0" collapsed="false">
      <c r="A69" s="50" t="n">
        <v>58</v>
      </c>
      <c r="B69" s="38" t="s">
        <v>80</v>
      </c>
      <c r="C69" s="38" t="s">
        <v>233</v>
      </c>
      <c r="D69" s="38" t="s">
        <v>234</v>
      </c>
      <c r="E69" s="39" t="n">
        <v>5000</v>
      </c>
      <c r="F69" s="49" t="s">
        <v>117</v>
      </c>
      <c r="G69" s="50" t="s">
        <v>118</v>
      </c>
      <c r="H69" s="38"/>
    </row>
    <row r="70" customFormat="false" ht="18" hidden="false" customHeight="true" outlineLevel="0" collapsed="false">
      <c r="A70" s="48" t="n">
        <v>59</v>
      </c>
      <c r="B70" s="34" t="s">
        <v>80</v>
      </c>
      <c r="C70" s="34" t="s">
        <v>235</v>
      </c>
      <c r="D70" s="34" t="s">
        <v>236</v>
      </c>
      <c r="E70" s="35" t="n">
        <v>6000</v>
      </c>
      <c r="F70" s="49" t="s">
        <v>117</v>
      </c>
      <c r="G70" s="48" t="s">
        <v>118</v>
      </c>
      <c r="H70" s="34"/>
    </row>
    <row r="71" customFormat="false" ht="18" hidden="false" customHeight="true" outlineLevel="0" collapsed="false">
      <c r="A71" s="50" t="n">
        <v>60</v>
      </c>
      <c r="B71" s="38" t="s">
        <v>80</v>
      </c>
      <c r="C71" s="38" t="s">
        <v>237</v>
      </c>
      <c r="D71" s="38" t="s">
        <v>238</v>
      </c>
      <c r="E71" s="39" t="n">
        <v>5000</v>
      </c>
      <c r="F71" s="49" t="s">
        <v>117</v>
      </c>
      <c r="G71" s="50" t="s">
        <v>118</v>
      </c>
      <c r="H71" s="38"/>
    </row>
    <row r="72" customFormat="false" ht="18" hidden="false" customHeight="true" outlineLevel="0" collapsed="false">
      <c r="A72" s="48" t="n">
        <v>61</v>
      </c>
      <c r="B72" s="34" t="s">
        <v>80</v>
      </c>
      <c r="C72" s="34" t="s">
        <v>239</v>
      </c>
      <c r="D72" s="34" t="s">
        <v>240</v>
      </c>
      <c r="E72" s="35" t="n">
        <v>4500</v>
      </c>
      <c r="F72" s="51" t="s">
        <v>123</v>
      </c>
      <c r="G72" s="48" t="s">
        <v>118</v>
      </c>
      <c r="H72" s="34"/>
    </row>
    <row r="73" customFormat="false" ht="18" hidden="false" customHeight="true" outlineLevel="0" collapsed="false">
      <c r="A73" s="50" t="n">
        <v>62</v>
      </c>
      <c r="B73" s="38" t="s">
        <v>80</v>
      </c>
      <c r="C73" s="38" t="s">
        <v>241</v>
      </c>
      <c r="D73" s="38" t="s">
        <v>242</v>
      </c>
      <c r="E73" s="39" t="n">
        <v>2500</v>
      </c>
      <c r="F73" s="51" t="s">
        <v>123</v>
      </c>
      <c r="G73" s="50" t="s">
        <v>118</v>
      </c>
      <c r="H73" s="38"/>
    </row>
    <row r="74" customFormat="false" ht="18" hidden="false" customHeight="true" outlineLevel="0" collapsed="false">
      <c r="A74" s="48" t="n">
        <v>63</v>
      </c>
      <c r="B74" s="34" t="s">
        <v>80</v>
      </c>
      <c r="C74" s="34" t="s">
        <v>243</v>
      </c>
      <c r="D74" s="34" t="s">
        <v>244</v>
      </c>
      <c r="E74" s="35" t="n">
        <v>3000</v>
      </c>
      <c r="F74" s="51" t="s">
        <v>123</v>
      </c>
      <c r="G74" s="48" t="s">
        <v>118</v>
      </c>
      <c r="H74" s="34"/>
    </row>
    <row r="75" customFormat="false" ht="18" hidden="false" customHeight="true" outlineLevel="0" collapsed="false">
      <c r="A75" s="50" t="n">
        <v>64</v>
      </c>
      <c r="B75" s="38" t="s">
        <v>80</v>
      </c>
      <c r="C75" s="38" t="s">
        <v>245</v>
      </c>
      <c r="D75" s="38" t="s">
        <v>246</v>
      </c>
      <c r="E75" s="39" t="n">
        <v>2000</v>
      </c>
      <c r="F75" s="51" t="s">
        <v>123</v>
      </c>
      <c r="G75" s="50" t="s">
        <v>118</v>
      </c>
      <c r="H75" s="38"/>
    </row>
    <row r="76" customFormat="false" ht="19.5" hidden="false" customHeight="true" outlineLevel="0" collapsed="false">
      <c r="A76" s="47" t="s">
        <v>247</v>
      </c>
      <c r="B76" s="47"/>
      <c r="C76" s="47"/>
      <c r="D76" s="47"/>
      <c r="E76" s="47"/>
      <c r="F76" s="47"/>
      <c r="G76" s="47"/>
      <c r="H76" s="47"/>
    </row>
    <row r="77" customFormat="false" ht="18" hidden="false" customHeight="true" outlineLevel="0" collapsed="false">
      <c r="A77" s="48" t="n">
        <v>65</v>
      </c>
      <c r="B77" s="34" t="s">
        <v>248</v>
      </c>
      <c r="C77" s="34" t="s">
        <v>249</v>
      </c>
      <c r="D77" s="34" t="s">
        <v>250</v>
      </c>
      <c r="E77" s="35" t="n">
        <v>6000</v>
      </c>
      <c r="F77" s="49" t="s">
        <v>117</v>
      </c>
      <c r="G77" s="48" t="s">
        <v>118</v>
      </c>
      <c r="H77" s="34"/>
    </row>
    <row r="78" customFormat="false" ht="18" hidden="false" customHeight="true" outlineLevel="0" collapsed="false">
      <c r="A78" s="50" t="n">
        <v>66</v>
      </c>
      <c r="B78" s="38" t="s">
        <v>248</v>
      </c>
      <c r="C78" s="38" t="s">
        <v>251</v>
      </c>
      <c r="D78" s="38" t="s">
        <v>252</v>
      </c>
      <c r="E78" s="39" t="n">
        <v>5000</v>
      </c>
      <c r="F78" s="49" t="s">
        <v>117</v>
      </c>
      <c r="G78" s="50" t="s">
        <v>118</v>
      </c>
      <c r="H78" s="38"/>
    </row>
    <row r="79" customFormat="false" ht="18" hidden="false" customHeight="true" outlineLevel="0" collapsed="false">
      <c r="A79" s="48" t="n">
        <v>67</v>
      </c>
      <c r="B79" s="34" t="s">
        <v>248</v>
      </c>
      <c r="C79" s="34" t="s">
        <v>253</v>
      </c>
      <c r="D79" s="34" t="s">
        <v>254</v>
      </c>
      <c r="E79" s="35" t="n">
        <v>4000</v>
      </c>
      <c r="F79" s="51" t="s">
        <v>123</v>
      </c>
      <c r="G79" s="48" t="s">
        <v>118</v>
      </c>
      <c r="H79" s="34"/>
    </row>
    <row r="80" customFormat="false" ht="18" hidden="false" customHeight="true" outlineLevel="0" collapsed="false">
      <c r="A80" s="50" t="n">
        <v>68</v>
      </c>
      <c r="B80" s="38" t="s">
        <v>248</v>
      </c>
      <c r="C80" s="38" t="s">
        <v>255</v>
      </c>
      <c r="D80" s="38" t="s">
        <v>256</v>
      </c>
      <c r="E80" s="39" t="n">
        <v>2000</v>
      </c>
      <c r="F80" s="51" t="s">
        <v>123</v>
      </c>
      <c r="G80" s="50" t="s">
        <v>118</v>
      </c>
      <c r="H80" s="38"/>
    </row>
    <row r="81" customFormat="false" ht="18" hidden="false" customHeight="true" outlineLevel="0" collapsed="false">
      <c r="A81" s="48" t="n">
        <v>69</v>
      </c>
      <c r="B81" s="34" t="s">
        <v>248</v>
      </c>
      <c r="C81" s="34" t="s">
        <v>257</v>
      </c>
      <c r="D81" s="34" t="s">
        <v>258</v>
      </c>
      <c r="E81" s="35" t="n">
        <v>5000</v>
      </c>
      <c r="F81" s="51" t="s">
        <v>123</v>
      </c>
      <c r="G81" s="48" t="s">
        <v>118</v>
      </c>
      <c r="H81" s="34"/>
    </row>
    <row r="82" customFormat="false" ht="19.5" hidden="false" customHeight="true" outlineLevel="0" collapsed="false">
      <c r="A82" s="47" t="s">
        <v>259</v>
      </c>
      <c r="B82" s="47"/>
      <c r="C82" s="47"/>
      <c r="D82" s="47"/>
      <c r="E82" s="47"/>
      <c r="F82" s="47"/>
      <c r="G82" s="47"/>
      <c r="H82" s="47"/>
    </row>
    <row r="83" customFormat="false" ht="18" hidden="false" customHeight="true" outlineLevel="0" collapsed="false">
      <c r="A83" s="50" t="n">
        <v>70</v>
      </c>
      <c r="B83" s="38" t="s">
        <v>260</v>
      </c>
      <c r="C83" s="38" t="s">
        <v>261</v>
      </c>
      <c r="D83" s="38" t="s">
        <v>262</v>
      </c>
      <c r="E83" s="39" t="n">
        <v>3500</v>
      </c>
      <c r="F83" s="49" t="s">
        <v>117</v>
      </c>
      <c r="G83" s="50" t="s">
        <v>118</v>
      </c>
      <c r="H83" s="38"/>
    </row>
    <row r="84" customFormat="false" ht="18" hidden="false" customHeight="true" outlineLevel="0" collapsed="false">
      <c r="A84" s="48" t="n">
        <v>71</v>
      </c>
      <c r="B84" s="34" t="s">
        <v>260</v>
      </c>
      <c r="C84" s="34" t="s">
        <v>263</v>
      </c>
      <c r="D84" s="34" t="s">
        <v>264</v>
      </c>
      <c r="E84" s="35" t="n">
        <v>1500</v>
      </c>
      <c r="F84" s="49" t="s">
        <v>117</v>
      </c>
      <c r="G84" s="48" t="s">
        <v>118</v>
      </c>
      <c r="H84" s="34"/>
    </row>
    <row r="85" customFormat="false" ht="18" hidden="false" customHeight="true" outlineLevel="0" collapsed="false">
      <c r="A85" s="50" t="n">
        <v>72</v>
      </c>
      <c r="B85" s="38" t="s">
        <v>260</v>
      </c>
      <c r="C85" s="38" t="s">
        <v>265</v>
      </c>
      <c r="D85" s="38" t="s">
        <v>266</v>
      </c>
      <c r="E85" s="39" t="n">
        <v>1200</v>
      </c>
      <c r="F85" s="51" t="s">
        <v>123</v>
      </c>
      <c r="G85" s="50" t="s">
        <v>118</v>
      </c>
      <c r="H85" s="38"/>
    </row>
    <row r="86" customFormat="false" ht="18" hidden="false" customHeight="true" outlineLevel="0" collapsed="false">
      <c r="A86" s="48" t="n">
        <v>73</v>
      </c>
      <c r="B86" s="34" t="s">
        <v>260</v>
      </c>
      <c r="C86" s="34" t="s">
        <v>267</v>
      </c>
      <c r="D86" s="34" t="s">
        <v>268</v>
      </c>
      <c r="E86" s="35" t="n">
        <v>800</v>
      </c>
      <c r="F86" s="52" t="s">
        <v>154</v>
      </c>
      <c r="G86" s="48" t="s">
        <v>118</v>
      </c>
      <c r="H86" s="34"/>
    </row>
    <row r="87" customFormat="false" ht="18" hidden="false" customHeight="true" outlineLevel="0" collapsed="false">
      <c r="A87" s="50" t="n">
        <v>74</v>
      </c>
      <c r="B87" s="38" t="s">
        <v>260</v>
      </c>
      <c r="C87" s="38" t="s">
        <v>269</v>
      </c>
      <c r="D87" s="38" t="s">
        <v>270</v>
      </c>
      <c r="E87" s="38" t="s">
        <v>271</v>
      </c>
      <c r="F87" s="52" t="s">
        <v>154</v>
      </c>
      <c r="G87" s="50" t="s">
        <v>118</v>
      </c>
      <c r="H87" s="38"/>
    </row>
    <row r="88" customFormat="false" ht="18" hidden="false" customHeight="true" outlineLevel="0" collapsed="false">
      <c r="A88" s="48" t="n">
        <v>75</v>
      </c>
      <c r="B88" s="34" t="s">
        <v>260</v>
      </c>
      <c r="C88" s="34" t="s">
        <v>272</v>
      </c>
      <c r="D88" s="34" t="s">
        <v>273</v>
      </c>
      <c r="E88" s="35" t="n">
        <v>1200</v>
      </c>
      <c r="F88" s="51" t="s">
        <v>123</v>
      </c>
      <c r="G88" s="48" t="s">
        <v>118</v>
      </c>
      <c r="H88" s="34"/>
    </row>
    <row r="89" customFormat="false" ht="18" hidden="false" customHeight="true" outlineLevel="0" collapsed="false">
      <c r="A89" s="50" t="n">
        <v>76</v>
      </c>
      <c r="B89" s="38" t="s">
        <v>260</v>
      </c>
      <c r="C89" s="38" t="s">
        <v>274</v>
      </c>
      <c r="D89" s="38" t="s">
        <v>275</v>
      </c>
      <c r="E89" s="39" t="n">
        <v>2500</v>
      </c>
      <c r="F89" s="51" t="s">
        <v>123</v>
      </c>
      <c r="G89" s="50" t="s">
        <v>118</v>
      </c>
      <c r="H89" s="38"/>
    </row>
    <row r="90" customFormat="false" ht="19.5" hidden="false" customHeight="true" outlineLevel="0" collapsed="false">
      <c r="A90" s="47" t="s">
        <v>90</v>
      </c>
      <c r="B90" s="47"/>
      <c r="C90" s="47"/>
      <c r="D90" s="47"/>
      <c r="E90" s="47"/>
      <c r="F90" s="47"/>
      <c r="G90" s="47"/>
      <c r="H90" s="47"/>
    </row>
    <row r="91" customFormat="false" ht="18" hidden="false" customHeight="true" outlineLevel="0" collapsed="false">
      <c r="A91" s="48" t="n">
        <v>77</v>
      </c>
      <c r="B91" s="34" t="s">
        <v>91</v>
      </c>
      <c r="C91" s="34" t="s">
        <v>276</v>
      </c>
      <c r="D91" s="34" t="s">
        <v>277</v>
      </c>
      <c r="E91" s="35" t="n">
        <v>5000</v>
      </c>
      <c r="F91" s="51" t="s">
        <v>123</v>
      </c>
      <c r="G91" s="48" t="s">
        <v>118</v>
      </c>
      <c r="H91" s="34"/>
    </row>
    <row r="92" customFormat="false" ht="18" hidden="false" customHeight="true" outlineLevel="0" collapsed="false">
      <c r="A92" s="50" t="n">
        <v>78</v>
      </c>
      <c r="B92" s="38" t="s">
        <v>91</v>
      </c>
      <c r="C92" s="38" t="s">
        <v>278</v>
      </c>
      <c r="D92" s="38" t="s">
        <v>279</v>
      </c>
      <c r="E92" s="39" t="n">
        <v>4500</v>
      </c>
      <c r="F92" s="51" t="s">
        <v>123</v>
      </c>
      <c r="G92" s="50" t="s">
        <v>118</v>
      </c>
      <c r="H92" s="38"/>
    </row>
    <row r="93" customFormat="false" ht="18" hidden="false" customHeight="true" outlineLevel="0" collapsed="false">
      <c r="A93" s="48" t="n">
        <v>79</v>
      </c>
      <c r="B93" s="34" t="s">
        <v>91</v>
      </c>
      <c r="C93" s="34" t="s">
        <v>280</v>
      </c>
      <c r="D93" s="34" t="s">
        <v>281</v>
      </c>
      <c r="E93" s="35" t="n">
        <v>3500</v>
      </c>
      <c r="F93" s="51" t="s">
        <v>123</v>
      </c>
      <c r="G93" s="48" t="s">
        <v>118</v>
      </c>
      <c r="H93" s="34"/>
    </row>
    <row r="94" customFormat="false" ht="18" hidden="false" customHeight="true" outlineLevel="0" collapsed="false">
      <c r="A94" s="50" t="n">
        <v>80</v>
      </c>
      <c r="B94" s="38" t="s">
        <v>91</v>
      </c>
      <c r="C94" s="38" t="s">
        <v>282</v>
      </c>
      <c r="D94" s="38" t="s">
        <v>283</v>
      </c>
      <c r="E94" s="39" t="n">
        <v>8000</v>
      </c>
      <c r="F94" s="51" t="s">
        <v>123</v>
      </c>
      <c r="G94" s="50" t="s">
        <v>118</v>
      </c>
      <c r="H94" s="38"/>
    </row>
    <row r="95" customFormat="false" ht="19.5" hidden="false" customHeight="true" outlineLevel="0" collapsed="false">
      <c r="A95" s="47" t="s">
        <v>94</v>
      </c>
      <c r="B95" s="47"/>
      <c r="C95" s="47"/>
      <c r="D95" s="47"/>
      <c r="E95" s="47"/>
      <c r="F95" s="47"/>
      <c r="G95" s="47"/>
      <c r="H95" s="47"/>
    </row>
    <row r="96" customFormat="false" ht="18" hidden="false" customHeight="true" outlineLevel="0" collapsed="false">
      <c r="A96" s="48" t="n">
        <v>81</v>
      </c>
      <c r="B96" s="34" t="s">
        <v>95</v>
      </c>
      <c r="C96" s="34" t="s">
        <v>284</v>
      </c>
      <c r="D96" s="34" t="s">
        <v>285</v>
      </c>
      <c r="E96" s="35" t="n">
        <v>5000</v>
      </c>
      <c r="F96" s="49" t="s">
        <v>117</v>
      </c>
      <c r="G96" s="48" t="s">
        <v>118</v>
      </c>
      <c r="H96" s="34"/>
    </row>
    <row r="97" customFormat="false" ht="18" hidden="false" customHeight="true" outlineLevel="0" collapsed="false">
      <c r="A97" s="50" t="n">
        <v>82</v>
      </c>
      <c r="B97" s="38" t="s">
        <v>95</v>
      </c>
      <c r="C97" s="38" t="s">
        <v>286</v>
      </c>
      <c r="D97" s="38" t="s">
        <v>287</v>
      </c>
      <c r="E97" s="39" t="n">
        <v>3200</v>
      </c>
      <c r="F97" s="49" t="s">
        <v>117</v>
      </c>
      <c r="G97" s="50" t="s">
        <v>118</v>
      </c>
      <c r="H97" s="38"/>
    </row>
    <row r="98" customFormat="false" ht="18" hidden="false" customHeight="true" outlineLevel="0" collapsed="false">
      <c r="A98" s="48" t="n">
        <v>83</v>
      </c>
      <c r="B98" s="34" t="s">
        <v>95</v>
      </c>
      <c r="C98" s="34" t="s">
        <v>288</v>
      </c>
      <c r="D98" s="34" t="s">
        <v>289</v>
      </c>
      <c r="E98" s="35" t="n">
        <v>8000</v>
      </c>
      <c r="F98" s="49" t="s">
        <v>117</v>
      </c>
      <c r="G98" s="48" t="s">
        <v>118</v>
      </c>
      <c r="H98" s="34"/>
    </row>
    <row r="99" customFormat="false" ht="18" hidden="false" customHeight="true" outlineLevel="0" collapsed="false">
      <c r="A99" s="50" t="n">
        <v>84</v>
      </c>
      <c r="B99" s="38" t="s">
        <v>95</v>
      </c>
      <c r="C99" s="38" t="s">
        <v>290</v>
      </c>
      <c r="D99" s="38" t="s">
        <v>291</v>
      </c>
      <c r="E99" s="39" t="n">
        <v>2500</v>
      </c>
      <c r="F99" s="49" t="s">
        <v>117</v>
      </c>
      <c r="G99" s="50" t="s">
        <v>118</v>
      </c>
      <c r="H99" s="38"/>
    </row>
    <row r="100" customFormat="false" ht="18" hidden="false" customHeight="true" outlineLevel="0" collapsed="false">
      <c r="A100" s="48" t="n">
        <v>85</v>
      </c>
      <c r="B100" s="34" t="s">
        <v>95</v>
      </c>
      <c r="C100" s="34" t="s">
        <v>292</v>
      </c>
      <c r="D100" s="34" t="s">
        <v>293</v>
      </c>
      <c r="E100" s="35" t="n">
        <v>1500</v>
      </c>
      <c r="F100" s="49" t="s">
        <v>117</v>
      </c>
      <c r="G100" s="48" t="s">
        <v>118</v>
      </c>
      <c r="H100" s="34"/>
    </row>
    <row r="101" customFormat="false" ht="18" hidden="false" customHeight="true" outlineLevel="0" collapsed="false">
      <c r="A101" s="50" t="n">
        <v>86</v>
      </c>
      <c r="B101" s="38" t="s">
        <v>95</v>
      </c>
      <c r="C101" s="38" t="s">
        <v>294</v>
      </c>
      <c r="D101" s="38" t="s">
        <v>295</v>
      </c>
      <c r="E101" s="39" t="n">
        <v>4000</v>
      </c>
      <c r="F101" s="49" t="s">
        <v>117</v>
      </c>
      <c r="G101" s="50" t="s">
        <v>118</v>
      </c>
      <c r="H101" s="38"/>
    </row>
    <row r="102" customFormat="false" ht="19.5" hidden="false" customHeight="true" outlineLevel="0" collapsed="false">
      <c r="A102" s="47" t="s">
        <v>99</v>
      </c>
      <c r="B102" s="47"/>
      <c r="C102" s="47"/>
      <c r="D102" s="47"/>
      <c r="E102" s="47"/>
      <c r="F102" s="47"/>
      <c r="G102" s="47"/>
      <c r="H102" s="47"/>
    </row>
    <row r="103" customFormat="false" ht="18" hidden="false" customHeight="true" outlineLevel="0" collapsed="false">
      <c r="A103" s="48" t="n">
        <v>87</v>
      </c>
      <c r="B103" s="34" t="s">
        <v>100</v>
      </c>
      <c r="C103" s="34" t="s">
        <v>296</v>
      </c>
      <c r="D103" s="34" t="s">
        <v>297</v>
      </c>
      <c r="E103" s="35" t="n">
        <v>4500</v>
      </c>
      <c r="F103" s="51" t="s">
        <v>123</v>
      </c>
      <c r="G103" s="48" t="s">
        <v>118</v>
      </c>
      <c r="H103" s="34"/>
    </row>
    <row r="104" customFormat="false" ht="18" hidden="false" customHeight="true" outlineLevel="0" collapsed="false">
      <c r="A104" s="50" t="n">
        <v>88</v>
      </c>
      <c r="B104" s="38" t="s">
        <v>100</v>
      </c>
      <c r="C104" s="38" t="s">
        <v>298</v>
      </c>
      <c r="D104" s="38" t="s">
        <v>299</v>
      </c>
      <c r="E104" s="39" t="n">
        <v>3000</v>
      </c>
      <c r="F104" s="51" t="s">
        <v>123</v>
      </c>
      <c r="G104" s="50" t="s">
        <v>118</v>
      </c>
      <c r="H104" s="38"/>
    </row>
    <row r="105" customFormat="false" ht="18" hidden="false" customHeight="true" outlineLevel="0" collapsed="false">
      <c r="A105" s="48" t="n">
        <v>89</v>
      </c>
      <c r="B105" s="34" t="s">
        <v>100</v>
      </c>
      <c r="C105" s="34" t="s">
        <v>300</v>
      </c>
      <c r="D105" s="34" t="s">
        <v>301</v>
      </c>
      <c r="E105" s="35" t="n">
        <v>2500</v>
      </c>
      <c r="F105" s="51" t="s">
        <v>123</v>
      </c>
      <c r="G105" s="48" t="s">
        <v>118</v>
      </c>
      <c r="H105" s="34"/>
    </row>
    <row r="106" customFormat="false" ht="18" hidden="false" customHeight="true" outlineLevel="0" collapsed="false">
      <c r="A106" s="50" t="n">
        <v>90</v>
      </c>
      <c r="B106" s="38" t="s">
        <v>100</v>
      </c>
      <c r="C106" s="38" t="s">
        <v>302</v>
      </c>
      <c r="D106" s="38" t="s">
        <v>303</v>
      </c>
      <c r="E106" s="39" t="n">
        <v>4000</v>
      </c>
      <c r="F106" s="51" t="s">
        <v>123</v>
      </c>
      <c r="G106" s="50" t="s">
        <v>118</v>
      </c>
      <c r="H106" s="38"/>
    </row>
    <row r="107" customFormat="false" ht="18" hidden="false" customHeight="true" outlineLevel="0" collapsed="false">
      <c r="A107" s="48" t="n">
        <v>91</v>
      </c>
      <c r="B107" s="34" t="s">
        <v>100</v>
      </c>
      <c r="C107" s="34" t="s">
        <v>304</v>
      </c>
      <c r="D107" s="34" t="s">
        <v>305</v>
      </c>
      <c r="E107" s="35" t="n">
        <v>3000</v>
      </c>
      <c r="F107" s="51" t="s">
        <v>123</v>
      </c>
      <c r="G107" s="48" t="s">
        <v>118</v>
      </c>
      <c r="H107" s="34"/>
    </row>
    <row r="108" customFormat="false" ht="18" hidden="false" customHeight="true" outlineLevel="0" collapsed="false">
      <c r="A108" s="50" t="n">
        <v>92</v>
      </c>
      <c r="B108" s="38" t="s">
        <v>100</v>
      </c>
      <c r="C108" s="38" t="s">
        <v>306</v>
      </c>
      <c r="D108" s="38" t="s">
        <v>307</v>
      </c>
      <c r="E108" s="39" t="n">
        <v>2500</v>
      </c>
      <c r="F108" s="51" t="s">
        <v>123</v>
      </c>
      <c r="G108" s="50" t="s">
        <v>118</v>
      </c>
      <c r="H108" s="38"/>
    </row>
    <row r="109" customFormat="false" ht="18" hidden="false" customHeight="true" outlineLevel="0" collapsed="false">
      <c r="A109" s="48" t="n">
        <v>93</v>
      </c>
      <c r="B109" s="34" t="s">
        <v>100</v>
      </c>
      <c r="C109" s="34" t="s">
        <v>308</v>
      </c>
      <c r="D109" s="34" t="s">
        <v>309</v>
      </c>
      <c r="E109" s="35" t="n">
        <v>1500</v>
      </c>
      <c r="F109" s="52" t="s">
        <v>154</v>
      </c>
      <c r="G109" s="48" t="s">
        <v>118</v>
      </c>
      <c r="H109" s="34"/>
    </row>
    <row r="110" customFormat="false" ht="19.5" hidden="false" customHeight="true" outlineLevel="0" collapsed="false">
      <c r="A110" s="47" t="s">
        <v>310</v>
      </c>
      <c r="B110" s="47"/>
      <c r="C110" s="47"/>
      <c r="D110" s="47"/>
      <c r="E110" s="47"/>
      <c r="F110" s="47"/>
      <c r="G110" s="47"/>
      <c r="H110" s="47"/>
    </row>
    <row r="111" customFormat="false" ht="18" hidden="false" customHeight="true" outlineLevel="0" collapsed="false">
      <c r="A111" s="50" t="n">
        <v>94</v>
      </c>
      <c r="B111" s="38" t="s">
        <v>311</v>
      </c>
      <c r="C111" s="38" t="s">
        <v>312</v>
      </c>
      <c r="D111" s="38" t="s">
        <v>313</v>
      </c>
      <c r="E111" s="39" t="n">
        <v>2000</v>
      </c>
      <c r="F111" s="49" t="s">
        <v>117</v>
      </c>
      <c r="G111" s="50" t="s">
        <v>118</v>
      </c>
      <c r="H111" s="38"/>
    </row>
    <row r="112" customFormat="false" ht="18" hidden="false" customHeight="true" outlineLevel="0" collapsed="false">
      <c r="A112" s="48" t="n">
        <v>95</v>
      </c>
      <c r="B112" s="34" t="s">
        <v>311</v>
      </c>
      <c r="C112" s="34" t="s">
        <v>314</v>
      </c>
      <c r="D112" s="34" t="s">
        <v>315</v>
      </c>
      <c r="E112" s="35" t="n">
        <v>1500</v>
      </c>
      <c r="F112" s="51" t="s">
        <v>123</v>
      </c>
      <c r="G112" s="48" t="s">
        <v>118</v>
      </c>
      <c r="H112" s="34"/>
    </row>
    <row r="113" customFormat="false" ht="18" hidden="false" customHeight="true" outlineLevel="0" collapsed="false">
      <c r="A113" s="50" t="n">
        <v>96</v>
      </c>
      <c r="B113" s="38" t="s">
        <v>311</v>
      </c>
      <c r="C113" s="38" t="s">
        <v>316</v>
      </c>
      <c r="D113" s="38" t="s">
        <v>317</v>
      </c>
      <c r="E113" s="39" t="n">
        <v>0</v>
      </c>
      <c r="F113" s="49" t="s">
        <v>117</v>
      </c>
      <c r="G113" s="50" t="s">
        <v>118</v>
      </c>
      <c r="H113" s="38"/>
    </row>
    <row r="114" customFormat="false" ht="18" hidden="false" customHeight="true" outlineLevel="0" collapsed="false">
      <c r="A114" s="48" t="n">
        <v>97</v>
      </c>
      <c r="B114" s="34" t="s">
        <v>311</v>
      </c>
      <c r="C114" s="34" t="s">
        <v>318</v>
      </c>
      <c r="D114" s="34" t="s">
        <v>319</v>
      </c>
      <c r="E114" s="35" t="n">
        <v>5000</v>
      </c>
      <c r="F114" s="49" t="s">
        <v>117</v>
      </c>
      <c r="G114" s="48" t="s">
        <v>118</v>
      </c>
      <c r="H114" s="34"/>
    </row>
    <row r="115" customFormat="false" ht="15" hidden="false" customHeight="true" outlineLevel="0" collapsed="false">
      <c r="A115" s="53" t="s">
        <v>320</v>
      </c>
      <c r="B115" s="53"/>
      <c r="C115" s="53"/>
      <c r="D115" s="53"/>
      <c r="E115" s="54" t="n">
        <f aca="false">SUMIF(G4:G114,"✓",E4:E114)</f>
        <v>0</v>
      </c>
      <c r="F115" s="55" t="str">
        <f aca="false">COUNTIF(G4:G114,"✓") &amp; " seleccionados"</f>
        <v>0 seleccionados</v>
      </c>
      <c r="G115" s="55"/>
      <c r="H115" s="55"/>
    </row>
  </sheetData>
  <mergeCells count="18">
    <mergeCell ref="A1:J1"/>
    <mergeCell ref="A2:J2"/>
    <mergeCell ref="A4:H4"/>
    <mergeCell ref="A14:H14"/>
    <mergeCell ref="A25:H25"/>
    <mergeCell ref="A38:H38"/>
    <mergeCell ref="A45:H45"/>
    <mergeCell ref="A51:H51"/>
    <mergeCell ref="A59:H59"/>
    <mergeCell ref="A65:H65"/>
    <mergeCell ref="A76:H76"/>
    <mergeCell ref="A82:H82"/>
    <mergeCell ref="A90:H90"/>
    <mergeCell ref="A95:H95"/>
    <mergeCell ref="A102:H102"/>
    <mergeCell ref="A110:H110"/>
    <mergeCell ref="A115:D115"/>
    <mergeCell ref="F115:H115"/>
  </mergeCells>
  <dataValidations count="2">
    <dataValidation allowBlank="true" errorStyle="stop" operator="between" showDropDown="false" showErrorMessage="false" showInputMessage="false" sqref="F5:F13 F15:F24 F26:F37 F39:F44 F46:F50 F52:F58 F60:F64 F66:F75 F77:F81 F83:F89 F91:F94 F96:F101 F103:F109 F111:F114" type="list">
      <formula1>"Alta,Media,Baja"</formula1>
      <formula2>0</formula2>
    </dataValidation>
    <dataValidation allowBlank="true" errorStyle="stop" operator="between" showDropDown="false" showErrorMessage="false" showInputMessage="false" sqref="G5:G13 G15:G24 G26:G37 G39:G44 G46:G50 G52:G58 G60:G64 G66:G75 G77:G81 G83:G89 G91:G94 G96:G101 G103:G109 G111:G114" type="list">
      <formula1>"✓,—"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65C0"/>
    <pageSetUpPr fitToPage="false"/>
  </sheetPr>
  <dimension ref="A1:J2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5"/>
    <col collapsed="false" customWidth="true" hidden="false" outlineLevel="0" max="3" min="3" style="1" width="20"/>
    <col collapsed="false" customWidth="true" hidden="false" outlineLevel="0" max="4" min="4" style="1" width="14"/>
    <col collapsed="false" customWidth="true" hidden="false" outlineLevel="0" max="7" min="5" style="1" width="13"/>
    <col collapsed="false" customWidth="true" hidden="false" outlineLevel="0" max="8" min="8" style="1" width="22"/>
    <col collapsed="false" customWidth="true" hidden="false" outlineLevel="0" max="9" min="9" style="1" width="15"/>
    <col collapsed="false" customWidth="true" hidden="false" outlineLevel="0" max="10" min="10" style="1" width="20"/>
  </cols>
  <sheetData>
    <row r="1" customFormat="false" ht="30" hidden="false" customHeight="true" outlineLevel="0" collapsed="false">
      <c r="A1" s="56" t="s">
        <v>321</v>
      </c>
      <c r="B1" s="56"/>
      <c r="C1" s="56"/>
      <c r="D1" s="56"/>
      <c r="E1" s="56"/>
      <c r="F1" s="56"/>
      <c r="G1" s="56"/>
      <c r="H1" s="56"/>
      <c r="I1" s="56"/>
      <c r="J1" s="56"/>
    </row>
    <row r="2" customFormat="false" ht="18" hidden="false" customHeight="true" outlineLevel="0" collapsed="false">
      <c r="A2" s="31" t="s">
        <v>322</v>
      </c>
      <c r="B2" s="31"/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true" outlineLevel="0" collapsed="false">
      <c r="A3" s="57" t="s">
        <v>323</v>
      </c>
      <c r="B3" s="58" t="n">
        <f aca="false">'📊 Dashboard'!B9</f>
        <v>150</v>
      </c>
      <c r="C3" s="59" t="s">
        <v>324</v>
      </c>
      <c r="D3" s="60" t="n">
        <f aca="false">COUNTIF(D6:D205,"Sí")</f>
        <v>6</v>
      </c>
      <c r="E3" s="61" t="s">
        <v>325</v>
      </c>
      <c r="F3" s="62" t="n">
        <f aca="false">COUNTIF(D6:D205,"Pendiente")</f>
        <v>3</v>
      </c>
      <c r="G3" s="63" t="s">
        <v>326</v>
      </c>
      <c r="H3" s="64" t="n">
        <f aca="false">COUNTIF(D6:D205,"No")</f>
        <v>1</v>
      </c>
      <c r="I3" s="65" t="s">
        <v>327</v>
      </c>
      <c r="J3" s="66" t="n">
        <f aca="false">SUMIF(D6:D205,"Sí",E6:E205)+SUMIF(D6:D205,"Pendiente",E6:E205)</f>
        <v>8</v>
      </c>
    </row>
    <row r="5" customFormat="false" ht="15" hidden="false" customHeight="true" outlineLevel="0" collapsed="false">
      <c r="A5" s="67" t="s">
        <v>29</v>
      </c>
      <c r="B5" s="67" t="s">
        <v>328</v>
      </c>
      <c r="C5" s="67" t="s">
        <v>329</v>
      </c>
      <c r="D5" s="67" t="s">
        <v>330</v>
      </c>
      <c r="E5" s="67" t="s">
        <v>331</v>
      </c>
      <c r="F5" s="67" t="s">
        <v>332</v>
      </c>
      <c r="G5" s="67" t="s">
        <v>333</v>
      </c>
      <c r="H5" s="67" t="s">
        <v>334</v>
      </c>
      <c r="I5" s="67" t="s">
        <v>335</v>
      </c>
      <c r="J5" s="67" t="s">
        <v>38</v>
      </c>
    </row>
    <row r="6" customFormat="false" ht="18" hidden="false" customHeight="true" outlineLevel="0" collapsed="false">
      <c r="A6" s="50" t="n">
        <v>1</v>
      </c>
      <c r="B6" s="38" t="s">
        <v>336</v>
      </c>
      <c r="C6" s="38" t="s">
        <v>337</v>
      </c>
      <c r="D6" s="52" t="s">
        <v>338</v>
      </c>
      <c r="E6" s="50" t="n">
        <v>1</v>
      </c>
      <c r="F6" s="50" t="n">
        <v>2</v>
      </c>
      <c r="G6" s="50" t="s">
        <v>339</v>
      </c>
      <c r="H6" s="38" t="s">
        <v>340</v>
      </c>
      <c r="I6" s="38" t="s">
        <v>341</v>
      </c>
      <c r="J6" s="38"/>
    </row>
    <row r="7" customFormat="false" ht="18" hidden="false" customHeight="true" outlineLevel="0" collapsed="false">
      <c r="A7" s="48" t="n">
        <v>2</v>
      </c>
      <c r="B7" s="34" t="s">
        <v>342</v>
      </c>
      <c r="C7" s="34" t="s">
        <v>343</v>
      </c>
      <c r="D7" s="52" t="s">
        <v>338</v>
      </c>
      <c r="E7" s="48" t="n">
        <v>0</v>
      </c>
      <c r="F7" s="48" t="n">
        <v>1</v>
      </c>
      <c r="G7" s="48" t="s">
        <v>344</v>
      </c>
      <c r="H7" s="34" t="s">
        <v>345</v>
      </c>
      <c r="I7" s="34" t="s">
        <v>346</v>
      </c>
      <c r="J7" s="34"/>
    </row>
    <row r="8" customFormat="false" ht="18" hidden="false" customHeight="true" outlineLevel="0" collapsed="false">
      <c r="A8" s="50" t="n">
        <v>3</v>
      </c>
      <c r="B8" s="38" t="s">
        <v>347</v>
      </c>
      <c r="C8" s="38" t="s">
        <v>348</v>
      </c>
      <c r="D8" s="51" t="s">
        <v>45</v>
      </c>
      <c r="E8" s="50" t="n">
        <v>2</v>
      </c>
      <c r="F8" s="50" t="n">
        <v>3</v>
      </c>
      <c r="G8" s="50"/>
      <c r="H8" s="38" t="s">
        <v>340</v>
      </c>
      <c r="I8" s="38" t="s">
        <v>349</v>
      </c>
      <c r="J8" s="38"/>
    </row>
    <row r="9" customFormat="false" ht="18" hidden="false" customHeight="true" outlineLevel="0" collapsed="false">
      <c r="A9" s="48" t="n">
        <v>4</v>
      </c>
      <c r="B9" s="34" t="s">
        <v>350</v>
      </c>
      <c r="C9" s="34" t="s">
        <v>351</v>
      </c>
      <c r="D9" s="52" t="s">
        <v>338</v>
      </c>
      <c r="E9" s="48" t="n">
        <v>1</v>
      </c>
      <c r="F9" s="48" t="n">
        <v>2</v>
      </c>
      <c r="G9" s="48" t="s">
        <v>352</v>
      </c>
      <c r="H9" s="34" t="s">
        <v>353</v>
      </c>
      <c r="I9" s="34" t="s">
        <v>354</v>
      </c>
      <c r="J9" s="34"/>
    </row>
    <row r="10" customFormat="false" ht="18" hidden="false" customHeight="true" outlineLevel="0" collapsed="false">
      <c r="A10" s="50" t="n">
        <v>5</v>
      </c>
      <c r="B10" s="38" t="s">
        <v>355</v>
      </c>
      <c r="C10" s="38" t="s">
        <v>356</v>
      </c>
      <c r="D10" s="49" t="s">
        <v>357</v>
      </c>
      <c r="E10" s="50" t="n">
        <v>0</v>
      </c>
      <c r="F10" s="50" t="n">
        <v>1</v>
      </c>
      <c r="G10" s="50"/>
      <c r="H10" s="38" t="s">
        <v>340</v>
      </c>
      <c r="I10" s="38" t="s">
        <v>358</v>
      </c>
      <c r="J10" s="38"/>
    </row>
    <row r="11" customFormat="false" ht="18" hidden="false" customHeight="true" outlineLevel="0" collapsed="false">
      <c r="A11" s="48" t="n">
        <v>6</v>
      </c>
      <c r="B11" s="34" t="s">
        <v>359</v>
      </c>
      <c r="C11" s="34" t="s">
        <v>337</v>
      </c>
      <c r="D11" s="52" t="s">
        <v>338</v>
      </c>
      <c r="E11" s="48" t="n">
        <v>0</v>
      </c>
      <c r="F11" s="48" t="n">
        <v>1</v>
      </c>
      <c r="G11" s="48" t="s">
        <v>339</v>
      </c>
      <c r="H11" s="34" t="s">
        <v>360</v>
      </c>
      <c r="I11" s="34" t="s">
        <v>361</v>
      </c>
      <c r="J11" s="34"/>
    </row>
    <row r="12" customFormat="false" ht="18" hidden="false" customHeight="true" outlineLevel="0" collapsed="false">
      <c r="A12" s="50" t="n">
        <v>7</v>
      </c>
      <c r="B12" s="38" t="s">
        <v>362</v>
      </c>
      <c r="C12" s="38" t="s">
        <v>343</v>
      </c>
      <c r="D12" s="51" t="s">
        <v>45</v>
      </c>
      <c r="E12" s="50" t="n">
        <v>1</v>
      </c>
      <c r="F12" s="50" t="n">
        <v>2</v>
      </c>
      <c r="G12" s="50"/>
      <c r="H12" s="38" t="s">
        <v>340</v>
      </c>
      <c r="I12" s="38" t="s">
        <v>363</v>
      </c>
      <c r="J12" s="38"/>
    </row>
    <row r="13" customFormat="false" ht="18" hidden="false" customHeight="true" outlineLevel="0" collapsed="false">
      <c r="A13" s="48" t="n">
        <v>8</v>
      </c>
      <c r="B13" s="34" t="s">
        <v>364</v>
      </c>
      <c r="C13" s="34" t="s">
        <v>365</v>
      </c>
      <c r="D13" s="52" t="s">
        <v>338</v>
      </c>
      <c r="E13" s="48" t="n">
        <v>1</v>
      </c>
      <c r="F13" s="48" t="n">
        <v>2</v>
      </c>
      <c r="G13" s="48" t="s">
        <v>366</v>
      </c>
      <c r="H13" s="34" t="s">
        <v>340</v>
      </c>
      <c r="I13" s="34" t="s">
        <v>367</v>
      </c>
      <c r="J13" s="34"/>
    </row>
    <row r="14" customFormat="false" ht="18" hidden="false" customHeight="true" outlineLevel="0" collapsed="false">
      <c r="A14" s="50" t="n">
        <v>9</v>
      </c>
      <c r="B14" s="38" t="s">
        <v>368</v>
      </c>
      <c r="C14" s="38" t="s">
        <v>348</v>
      </c>
      <c r="D14" s="52" t="s">
        <v>338</v>
      </c>
      <c r="E14" s="50" t="n">
        <v>2</v>
      </c>
      <c r="F14" s="50" t="n">
        <v>3</v>
      </c>
      <c r="G14" s="50" t="s">
        <v>344</v>
      </c>
      <c r="H14" s="38" t="s">
        <v>340</v>
      </c>
      <c r="I14" s="38" t="s">
        <v>369</v>
      </c>
      <c r="J14" s="38"/>
    </row>
    <row r="15" customFormat="false" ht="18" hidden="false" customHeight="true" outlineLevel="0" collapsed="false">
      <c r="A15" s="48" t="n">
        <v>10</v>
      </c>
      <c r="B15" s="34" t="s">
        <v>370</v>
      </c>
      <c r="C15" s="34" t="s">
        <v>371</v>
      </c>
      <c r="D15" s="51" t="s">
        <v>45</v>
      </c>
      <c r="E15" s="48" t="n">
        <v>0</v>
      </c>
      <c r="F15" s="48" t="n">
        <v>1</v>
      </c>
      <c r="G15" s="48"/>
      <c r="H15" s="34" t="s">
        <v>345</v>
      </c>
      <c r="I15" s="34" t="s">
        <v>372</v>
      </c>
      <c r="J15" s="34"/>
    </row>
    <row r="16" customFormat="false" ht="18" hidden="false" customHeight="true" outlineLevel="0" collapsed="false">
      <c r="A16" s="68" t="n">
        <v>11</v>
      </c>
      <c r="B16" s="69"/>
      <c r="C16" s="69"/>
      <c r="D16" s="69"/>
      <c r="E16" s="69"/>
      <c r="F16" s="69" t="str">
        <f aca="false">IF(D16="","",E16+1)</f>
        <v/>
      </c>
      <c r="G16" s="69"/>
      <c r="H16" s="69"/>
      <c r="I16" s="69"/>
      <c r="J16" s="69"/>
    </row>
    <row r="17" customFormat="false" ht="18" hidden="false" customHeight="true" outlineLevel="0" collapsed="false">
      <c r="A17" s="70" t="n">
        <v>12</v>
      </c>
      <c r="B17" s="71"/>
      <c r="C17" s="71"/>
      <c r="D17" s="71"/>
      <c r="E17" s="71"/>
      <c r="F17" s="71" t="str">
        <f aca="false">IF(D17="","",E17+1)</f>
        <v/>
      </c>
      <c r="G17" s="71"/>
      <c r="H17" s="71"/>
      <c r="I17" s="71"/>
      <c r="J17" s="71"/>
    </row>
    <row r="18" customFormat="false" ht="18" hidden="false" customHeight="true" outlineLevel="0" collapsed="false">
      <c r="A18" s="68" t="n">
        <v>13</v>
      </c>
      <c r="B18" s="69"/>
      <c r="C18" s="69"/>
      <c r="D18" s="69"/>
      <c r="E18" s="69"/>
      <c r="F18" s="69" t="str">
        <f aca="false">IF(D18="","",E18+1)</f>
        <v/>
      </c>
      <c r="G18" s="69"/>
      <c r="H18" s="69"/>
      <c r="I18" s="69"/>
      <c r="J18" s="69"/>
    </row>
    <row r="19" customFormat="false" ht="18" hidden="false" customHeight="true" outlineLevel="0" collapsed="false">
      <c r="A19" s="70" t="n">
        <v>14</v>
      </c>
      <c r="B19" s="71"/>
      <c r="C19" s="71"/>
      <c r="D19" s="71"/>
      <c r="E19" s="71"/>
      <c r="F19" s="71" t="str">
        <f aca="false">IF(D19="","",E19+1)</f>
        <v/>
      </c>
      <c r="G19" s="71"/>
      <c r="H19" s="71"/>
      <c r="I19" s="71"/>
      <c r="J19" s="71"/>
    </row>
    <row r="20" customFormat="false" ht="18" hidden="false" customHeight="true" outlineLevel="0" collapsed="false">
      <c r="A20" s="68" t="n">
        <v>15</v>
      </c>
      <c r="B20" s="69"/>
      <c r="C20" s="69"/>
      <c r="D20" s="69"/>
      <c r="E20" s="69"/>
      <c r="F20" s="69" t="str">
        <f aca="false">IF(D20="","",E20+1)</f>
        <v/>
      </c>
      <c r="G20" s="69"/>
      <c r="H20" s="69"/>
      <c r="I20" s="69"/>
      <c r="J20" s="69"/>
    </row>
    <row r="21" customFormat="false" ht="18" hidden="false" customHeight="true" outlineLevel="0" collapsed="false">
      <c r="A21" s="70" t="n">
        <v>16</v>
      </c>
      <c r="B21" s="71"/>
      <c r="C21" s="71"/>
      <c r="D21" s="71"/>
      <c r="E21" s="71"/>
      <c r="F21" s="71" t="str">
        <f aca="false">IF(D21="","",E21+1)</f>
        <v/>
      </c>
      <c r="G21" s="71"/>
      <c r="H21" s="71"/>
      <c r="I21" s="71"/>
      <c r="J21" s="71"/>
    </row>
    <row r="22" customFormat="false" ht="18" hidden="false" customHeight="true" outlineLevel="0" collapsed="false">
      <c r="A22" s="68" t="n">
        <v>17</v>
      </c>
      <c r="B22" s="69"/>
      <c r="C22" s="69"/>
      <c r="D22" s="69"/>
      <c r="E22" s="69"/>
      <c r="F22" s="69" t="str">
        <f aca="false">IF(D22="","",E22+1)</f>
        <v/>
      </c>
      <c r="G22" s="69"/>
      <c r="H22" s="69"/>
      <c r="I22" s="69"/>
      <c r="J22" s="69"/>
    </row>
    <row r="23" customFormat="false" ht="18" hidden="false" customHeight="true" outlineLevel="0" collapsed="false">
      <c r="A23" s="70" t="n">
        <v>18</v>
      </c>
      <c r="B23" s="71"/>
      <c r="C23" s="71"/>
      <c r="D23" s="71"/>
      <c r="E23" s="71"/>
      <c r="F23" s="71" t="str">
        <f aca="false">IF(D23="","",E23+1)</f>
        <v/>
      </c>
      <c r="G23" s="71"/>
      <c r="H23" s="71"/>
      <c r="I23" s="71"/>
      <c r="J23" s="71"/>
    </row>
    <row r="24" customFormat="false" ht="18" hidden="false" customHeight="true" outlineLevel="0" collapsed="false">
      <c r="A24" s="68" t="n">
        <v>19</v>
      </c>
      <c r="B24" s="69"/>
      <c r="C24" s="69"/>
      <c r="D24" s="69"/>
      <c r="E24" s="69"/>
      <c r="F24" s="69" t="str">
        <f aca="false">IF(D24="","",E24+1)</f>
        <v/>
      </c>
      <c r="G24" s="69"/>
      <c r="H24" s="69"/>
      <c r="I24" s="69"/>
      <c r="J24" s="69"/>
    </row>
    <row r="25" customFormat="false" ht="18" hidden="false" customHeight="true" outlineLevel="0" collapsed="false">
      <c r="A25" s="70" t="n">
        <v>20</v>
      </c>
      <c r="B25" s="71"/>
      <c r="C25" s="71"/>
      <c r="D25" s="71"/>
      <c r="E25" s="71"/>
      <c r="F25" s="71" t="str">
        <f aca="false">IF(D25="","",E25+1)</f>
        <v/>
      </c>
      <c r="G25" s="71"/>
      <c r="H25" s="71"/>
      <c r="I25" s="71"/>
      <c r="J25" s="71"/>
    </row>
    <row r="26" customFormat="false" ht="18" hidden="false" customHeight="true" outlineLevel="0" collapsed="false">
      <c r="A26" s="68" t="n">
        <v>21</v>
      </c>
      <c r="B26" s="69"/>
      <c r="C26" s="69"/>
      <c r="D26" s="69"/>
      <c r="E26" s="69"/>
      <c r="F26" s="69" t="str">
        <f aca="false">IF(D26="","",E26+1)</f>
        <v/>
      </c>
      <c r="G26" s="69"/>
      <c r="H26" s="69"/>
      <c r="I26" s="69"/>
      <c r="J26" s="69"/>
    </row>
    <row r="27" customFormat="false" ht="18" hidden="false" customHeight="true" outlineLevel="0" collapsed="false">
      <c r="A27" s="70" t="n">
        <v>22</v>
      </c>
      <c r="B27" s="71"/>
      <c r="C27" s="71"/>
      <c r="D27" s="71"/>
      <c r="E27" s="71"/>
      <c r="F27" s="71" t="str">
        <f aca="false">IF(D27="","",E27+1)</f>
        <v/>
      </c>
      <c r="G27" s="71"/>
      <c r="H27" s="71"/>
      <c r="I27" s="71"/>
      <c r="J27" s="71"/>
    </row>
    <row r="28" customFormat="false" ht="18" hidden="false" customHeight="true" outlineLevel="0" collapsed="false">
      <c r="A28" s="68" t="n">
        <v>23</v>
      </c>
      <c r="B28" s="69"/>
      <c r="C28" s="69"/>
      <c r="D28" s="69"/>
      <c r="E28" s="69"/>
      <c r="F28" s="69" t="str">
        <f aca="false">IF(D28="","",E28+1)</f>
        <v/>
      </c>
      <c r="G28" s="69"/>
      <c r="H28" s="69"/>
      <c r="I28" s="69"/>
      <c r="J28" s="69"/>
    </row>
    <row r="29" customFormat="false" ht="18" hidden="false" customHeight="true" outlineLevel="0" collapsed="false">
      <c r="A29" s="70" t="n">
        <v>24</v>
      </c>
      <c r="B29" s="71"/>
      <c r="C29" s="71"/>
      <c r="D29" s="71"/>
      <c r="E29" s="71"/>
      <c r="F29" s="71" t="str">
        <f aca="false">IF(D29="","",E29+1)</f>
        <v/>
      </c>
      <c r="G29" s="71"/>
      <c r="H29" s="71"/>
      <c r="I29" s="71"/>
      <c r="J29" s="71"/>
    </row>
    <row r="30" customFormat="false" ht="18" hidden="false" customHeight="true" outlineLevel="0" collapsed="false">
      <c r="A30" s="68" t="n">
        <v>25</v>
      </c>
      <c r="B30" s="69"/>
      <c r="C30" s="69"/>
      <c r="D30" s="69"/>
      <c r="E30" s="69"/>
      <c r="F30" s="69" t="str">
        <f aca="false">IF(D30="","",E30+1)</f>
        <v/>
      </c>
      <c r="G30" s="69"/>
      <c r="H30" s="69"/>
      <c r="I30" s="69"/>
      <c r="J30" s="69"/>
    </row>
    <row r="31" customFormat="false" ht="18" hidden="false" customHeight="true" outlineLevel="0" collapsed="false">
      <c r="A31" s="70" t="n">
        <v>26</v>
      </c>
      <c r="B31" s="71"/>
      <c r="C31" s="71"/>
      <c r="D31" s="71"/>
      <c r="E31" s="71"/>
      <c r="F31" s="71" t="str">
        <f aca="false">IF(D31="","",E31+1)</f>
        <v/>
      </c>
      <c r="G31" s="71"/>
      <c r="H31" s="71"/>
      <c r="I31" s="71"/>
      <c r="J31" s="71"/>
    </row>
    <row r="32" customFormat="false" ht="18" hidden="false" customHeight="true" outlineLevel="0" collapsed="false">
      <c r="A32" s="68" t="n">
        <v>27</v>
      </c>
      <c r="B32" s="69"/>
      <c r="C32" s="69"/>
      <c r="D32" s="69"/>
      <c r="E32" s="69"/>
      <c r="F32" s="69" t="str">
        <f aca="false">IF(D32="","",E32+1)</f>
        <v/>
      </c>
      <c r="G32" s="69"/>
      <c r="H32" s="69"/>
      <c r="I32" s="69"/>
      <c r="J32" s="69"/>
    </row>
    <row r="33" customFormat="false" ht="18" hidden="false" customHeight="true" outlineLevel="0" collapsed="false">
      <c r="A33" s="70" t="n">
        <v>28</v>
      </c>
      <c r="B33" s="71"/>
      <c r="C33" s="71"/>
      <c r="D33" s="71"/>
      <c r="E33" s="71"/>
      <c r="F33" s="71" t="str">
        <f aca="false">IF(D33="","",E33+1)</f>
        <v/>
      </c>
      <c r="G33" s="71"/>
      <c r="H33" s="71"/>
      <c r="I33" s="71"/>
      <c r="J33" s="71"/>
    </row>
    <row r="34" customFormat="false" ht="18" hidden="false" customHeight="true" outlineLevel="0" collapsed="false">
      <c r="A34" s="68" t="n">
        <v>29</v>
      </c>
      <c r="B34" s="69"/>
      <c r="C34" s="69"/>
      <c r="D34" s="69"/>
      <c r="E34" s="69"/>
      <c r="F34" s="69" t="str">
        <f aca="false">IF(D34="","",E34+1)</f>
        <v/>
      </c>
      <c r="G34" s="69"/>
      <c r="H34" s="69"/>
      <c r="I34" s="69"/>
      <c r="J34" s="69"/>
    </row>
    <row r="35" customFormat="false" ht="18" hidden="false" customHeight="true" outlineLevel="0" collapsed="false">
      <c r="A35" s="70" t="n">
        <v>30</v>
      </c>
      <c r="B35" s="71"/>
      <c r="C35" s="71"/>
      <c r="D35" s="71"/>
      <c r="E35" s="71"/>
      <c r="F35" s="71" t="str">
        <f aca="false">IF(D35="","",E35+1)</f>
        <v/>
      </c>
      <c r="G35" s="71"/>
      <c r="H35" s="71"/>
      <c r="I35" s="71"/>
      <c r="J35" s="71"/>
    </row>
    <row r="36" customFormat="false" ht="18" hidden="false" customHeight="true" outlineLevel="0" collapsed="false">
      <c r="A36" s="68" t="n">
        <v>31</v>
      </c>
      <c r="B36" s="69"/>
      <c r="C36" s="69"/>
      <c r="D36" s="69"/>
      <c r="E36" s="69"/>
      <c r="F36" s="69" t="str">
        <f aca="false">IF(D36="","",E36+1)</f>
        <v/>
      </c>
      <c r="G36" s="69"/>
      <c r="H36" s="69"/>
      <c r="I36" s="69"/>
      <c r="J36" s="69"/>
    </row>
    <row r="37" customFormat="false" ht="18" hidden="false" customHeight="true" outlineLevel="0" collapsed="false">
      <c r="A37" s="70" t="n">
        <v>32</v>
      </c>
      <c r="B37" s="71"/>
      <c r="C37" s="71"/>
      <c r="D37" s="71"/>
      <c r="E37" s="71"/>
      <c r="F37" s="71" t="str">
        <f aca="false">IF(D37="","",E37+1)</f>
        <v/>
      </c>
      <c r="G37" s="71"/>
      <c r="H37" s="71"/>
      <c r="I37" s="71"/>
      <c r="J37" s="71"/>
    </row>
    <row r="38" customFormat="false" ht="18" hidden="false" customHeight="true" outlineLevel="0" collapsed="false">
      <c r="A38" s="68" t="n">
        <v>33</v>
      </c>
      <c r="B38" s="69"/>
      <c r="C38" s="69"/>
      <c r="D38" s="69"/>
      <c r="E38" s="69"/>
      <c r="F38" s="69" t="str">
        <f aca="false">IF(D38="","",E38+1)</f>
        <v/>
      </c>
      <c r="G38" s="69"/>
      <c r="H38" s="69"/>
      <c r="I38" s="69"/>
      <c r="J38" s="69"/>
    </row>
    <row r="39" customFormat="false" ht="18" hidden="false" customHeight="true" outlineLevel="0" collapsed="false">
      <c r="A39" s="70" t="n">
        <v>34</v>
      </c>
      <c r="B39" s="71"/>
      <c r="C39" s="71"/>
      <c r="D39" s="71"/>
      <c r="E39" s="71"/>
      <c r="F39" s="71" t="str">
        <f aca="false">IF(D39="","",E39+1)</f>
        <v/>
      </c>
      <c r="G39" s="71"/>
      <c r="H39" s="71"/>
      <c r="I39" s="71"/>
      <c r="J39" s="71"/>
    </row>
    <row r="40" customFormat="false" ht="18" hidden="false" customHeight="true" outlineLevel="0" collapsed="false">
      <c r="A40" s="68" t="n">
        <v>35</v>
      </c>
      <c r="B40" s="69"/>
      <c r="C40" s="69"/>
      <c r="D40" s="69"/>
      <c r="E40" s="69"/>
      <c r="F40" s="69" t="str">
        <f aca="false">IF(D40="","",E40+1)</f>
        <v/>
      </c>
      <c r="G40" s="69"/>
      <c r="H40" s="69"/>
      <c r="I40" s="69"/>
      <c r="J40" s="69"/>
    </row>
    <row r="41" customFormat="false" ht="18" hidden="false" customHeight="true" outlineLevel="0" collapsed="false">
      <c r="A41" s="70" t="n">
        <v>36</v>
      </c>
      <c r="B41" s="71"/>
      <c r="C41" s="71"/>
      <c r="D41" s="71"/>
      <c r="E41" s="71"/>
      <c r="F41" s="71" t="str">
        <f aca="false">IF(D41="","",E41+1)</f>
        <v/>
      </c>
      <c r="G41" s="71"/>
      <c r="H41" s="71"/>
      <c r="I41" s="71"/>
      <c r="J41" s="71"/>
    </row>
    <row r="42" customFormat="false" ht="18" hidden="false" customHeight="true" outlineLevel="0" collapsed="false">
      <c r="A42" s="68" t="n">
        <v>37</v>
      </c>
      <c r="B42" s="69"/>
      <c r="C42" s="69"/>
      <c r="D42" s="69"/>
      <c r="E42" s="69"/>
      <c r="F42" s="69" t="str">
        <f aca="false">IF(D42="","",E42+1)</f>
        <v/>
      </c>
      <c r="G42" s="69"/>
      <c r="H42" s="69"/>
      <c r="I42" s="69"/>
      <c r="J42" s="69"/>
    </row>
    <row r="43" customFormat="false" ht="18" hidden="false" customHeight="true" outlineLevel="0" collapsed="false">
      <c r="A43" s="70" t="n">
        <v>38</v>
      </c>
      <c r="B43" s="71"/>
      <c r="C43" s="71"/>
      <c r="D43" s="71"/>
      <c r="E43" s="71"/>
      <c r="F43" s="71" t="str">
        <f aca="false">IF(D43="","",E43+1)</f>
        <v/>
      </c>
      <c r="G43" s="71"/>
      <c r="H43" s="71"/>
      <c r="I43" s="71"/>
      <c r="J43" s="71"/>
    </row>
    <row r="44" customFormat="false" ht="18" hidden="false" customHeight="true" outlineLevel="0" collapsed="false">
      <c r="A44" s="68" t="n">
        <v>39</v>
      </c>
      <c r="B44" s="69"/>
      <c r="C44" s="69"/>
      <c r="D44" s="69"/>
      <c r="E44" s="69"/>
      <c r="F44" s="69" t="str">
        <f aca="false">IF(D44="","",E44+1)</f>
        <v/>
      </c>
      <c r="G44" s="69"/>
      <c r="H44" s="69"/>
      <c r="I44" s="69"/>
      <c r="J44" s="69"/>
    </row>
    <row r="45" customFormat="false" ht="18" hidden="false" customHeight="true" outlineLevel="0" collapsed="false">
      <c r="A45" s="70" t="n">
        <v>40</v>
      </c>
      <c r="B45" s="71"/>
      <c r="C45" s="71"/>
      <c r="D45" s="71"/>
      <c r="E45" s="71"/>
      <c r="F45" s="71" t="str">
        <f aca="false">IF(D45="","",E45+1)</f>
        <v/>
      </c>
      <c r="G45" s="71"/>
      <c r="H45" s="71"/>
      <c r="I45" s="71"/>
      <c r="J45" s="71"/>
    </row>
    <row r="46" customFormat="false" ht="18" hidden="false" customHeight="true" outlineLevel="0" collapsed="false">
      <c r="A46" s="68" t="n">
        <v>41</v>
      </c>
      <c r="B46" s="69"/>
      <c r="C46" s="69"/>
      <c r="D46" s="69"/>
      <c r="E46" s="69"/>
      <c r="F46" s="69" t="str">
        <f aca="false">IF(D46="","",E46+1)</f>
        <v/>
      </c>
      <c r="G46" s="69"/>
      <c r="H46" s="69"/>
      <c r="I46" s="69"/>
      <c r="J46" s="69"/>
    </row>
    <row r="47" customFormat="false" ht="18" hidden="false" customHeight="true" outlineLevel="0" collapsed="false">
      <c r="A47" s="70" t="n">
        <v>42</v>
      </c>
      <c r="B47" s="71"/>
      <c r="C47" s="71"/>
      <c r="D47" s="71"/>
      <c r="E47" s="71"/>
      <c r="F47" s="71" t="str">
        <f aca="false">IF(D47="","",E47+1)</f>
        <v/>
      </c>
      <c r="G47" s="71"/>
      <c r="H47" s="71"/>
      <c r="I47" s="71"/>
      <c r="J47" s="71"/>
    </row>
    <row r="48" customFormat="false" ht="18" hidden="false" customHeight="true" outlineLevel="0" collapsed="false">
      <c r="A48" s="68" t="n">
        <v>43</v>
      </c>
      <c r="B48" s="69"/>
      <c r="C48" s="69"/>
      <c r="D48" s="69"/>
      <c r="E48" s="69"/>
      <c r="F48" s="69" t="str">
        <f aca="false">IF(D48="","",E48+1)</f>
        <v/>
      </c>
      <c r="G48" s="69"/>
      <c r="H48" s="69"/>
      <c r="I48" s="69"/>
      <c r="J48" s="69"/>
    </row>
    <row r="49" customFormat="false" ht="18" hidden="false" customHeight="true" outlineLevel="0" collapsed="false">
      <c r="A49" s="70" t="n">
        <v>44</v>
      </c>
      <c r="B49" s="71"/>
      <c r="C49" s="71"/>
      <c r="D49" s="71"/>
      <c r="E49" s="71"/>
      <c r="F49" s="71" t="str">
        <f aca="false">IF(D49="","",E49+1)</f>
        <v/>
      </c>
      <c r="G49" s="71"/>
      <c r="H49" s="71"/>
      <c r="I49" s="71"/>
      <c r="J49" s="71"/>
    </row>
    <row r="50" customFormat="false" ht="18" hidden="false" customHeight="true" outlineLevel="0" collapsed="false">
      <c r="A50" s="68" t="n">
        <v>45</v>
      </c>
      <c r="B50" s="69"/>
      <c r="C50" s="69"/>
      <c r="D50" s="69"/>
      <c r="E50" s="69"/>
      <c r="F50" s="69" t="str">
        <f aca="false">IF(D50="","",E50+1)</f>
        <v/>
      </c>
      <c r="G50" s="69"/>
      <c r="H50" s="69"/>
      <c r="I50" s="69"/>
      <c r="J50" s="69"/>
    </row>
    <row r="51" customFormat="false" ht="18" hidden="false" customHeight="true" outlineLevel="0" collapsed="false">
      <c r="A51" s="70" t="n">
        <v>46</v>
      </c>
      <c r="B51" s="71"/>
      <c r="C51" s="71"/>
      <c r="D51" s="71"/>
      <c r="E51" s="71"/>
      <c r="F51" s="71" t="str">
        <f aca="false">IF(D51="","",E51+1)</f>
        <v/>
      </c>
      <c r="G51" s="71"/>
      <c r="H51" s="71"/>
      <c r="I51" s="71"/>
      <c r="J51" s="71"/>
    </row>
    <row r="52" customFormat="false" ht="18" hidden="false" customHeight="true" outlineLevel="0" collapsed="false">
      <c r="A52" s="68" t="n">
        <v>47</v>
      </c>
      <c r="B52" s="69"/>
      <c r="C52" s="69"/>
      <c r="D52" s="69"/>
      <c r="E52" s="69"/>
      <c r="F52" s="69" t="str">
        <f aca="false">IF(D52="","",E52+1)</f>
        <v/>
      </c>
      <c r="G52" s="69"/>
      <c r="H52" s="69"/>
      <c r="I52" s="69"/>
      <c r="J52" s="69"/>
    </row>
    <row r="53" customFormat="false" ht="18" hidden="false" customHeight="true" outlineLevel="0" collapsed="false">
      <c r="A53" s="70" t="n">
        <v>48</v>
      </c>
      <c r="B53" s="71"/>
      <c r="C53" s="71"/>
      <c r="D53" s="71"/>
      <c r="E53" s="71"/>
      <c r="F53" s="71" t="str">
        <f aca="false">IF(D53="","",E53+1)</f>
        <v/>
      </c>
      <c r="G53" s="71"/>
      <c r="H53" s="71"/>
      <c r="I53" s="71"/>
      <c r="J53" s="71"/>
    </row>
    <row r="54" customFormat="false" ht="18" hidden="false" customHeight="true" outlineLevel="0" collapsed="false">
      <c r="A54" s="68" t="n">
        <v>49</v>
      </c>
      <c r="B54" s="69"/>
      <c r="C54" s="69"/>
      <c r="D54" s="69"/>
      <c r="E54" s="69"/>
      <c r="F54" s="69" t="str">
        <f aca="false">IF(D54="","",E54+1)</f>
        <v/>
      </c>
      <c r="G54" s="69"/>
      <c r="H54" s="69"/>
      <c r="I54" s="69"/>
      <c r="J54" s="69"/>
    </row>
    <row r="55" customFormat="false" ht="18" hidden="false" customHeight="true" outlineLevel="0" collapsed="false">
      <c r="A55" s="70" t="n">
        <v>50</v>
      </c>
      <c r="B55" s="71"/>
      <c r="C55" s="71"/>
      <c r="D55" s="71"/>
      <c r="E55" s="71"/>
      <c r="F55" s="71" t="str">
        <f aca="false">IF(D55="","",E55+1)</f>
        <v/>
      </c>
      <c r="G55" s="71"/>
      <c r="H55" s="71"/>
      <c r="I55" s="71"/>
      <c r="J55" s="71"/>
    </row>
    <row r="56" customFormat="false" ht="18" hidden="false" customHeight="true" outlineLevel="0" collapsed="false">
      <c r="A56" s="68" t="n">
        <v>51</v>
      </c>
      <c r="B56" s="69"/>
      <c r="C56" s="69"/>
      <c r="D56" s="69"/>
      <c r="E56" s="69"/>
      <c r="F56" s="69" t="str">
        <f aca="false">IF(D56="","",E56+1)</f>
        <v/>
      </c>
      <c r="G56" s="69"/>
      <c r="H56" s="69"/>
      <c r="I56" s="69"/>
      <c r="J56" s="69"/>
    </row>
    <row r="57" customFormat="false" ht="18" hidden="false" customHeight="true" outlineLevel="0" collapsed="false">
      <c r="A57" s="70" t="n">
        <v>52</v>
      </c>
      <c r="B57" s="71"/>
      <c r="C57" s="71"/>
      <c r="D57" s="71"/>
      <c r="E57" s="71"/>
      <c r="F57" s="71" t="str">
        <f aca="false">IF(D57="","",E57+1)</f>
        <v/>
      </c>
      <c r="G57" s="71"/>
      <c r="H57" s="71"/>
      <c r="I57" s="71"/>
      <c r="J57" s="71"/>
    </row>
    <row r="58" customFormat="false" ht="18" hidden="false" customHeight="true" outlineLevel="0" collapsed="false">
      <c r="A58" s="68" t="n">
        <v>53</v>
      </c>
      <c r="B58" s="69"/>
      <c r="C58" s="69"/>
      <c r="D58" s="69"/>
      <c r="E58" s="69"/>
      <c r="F58" s="69" t="str">
        <f aca="false">IF(D58="","",E58+1)</f>
        <v/>
      </c>
      <c r="G58" s="69"/>
      <c r="H58" s="69"/>
      <c r="I58" s="69"/>
      <c r="J58" s="69"/>
    </row>
    <row r="59" customFormat="false" ht="18" hidden="false" customHeight="true" outlineLevel="0" collapsed="false">
      <c r="A59" s="70" t="n">
        <v>54</v>
      </c>
      <c r="B59" s="71"/>
      <c r="C59" s="71"/>
      <c r="D59" s="71"/>
      <c r="E59" s="71"/>
      <c r="F59" s="71" t="str">
        <f aca="false">IF(D59="","",E59+1)</f>
        <v/>
      </c>
      <c r="G59" s="71"/>
      <c r="H59" s="71"/>
      <c r="I59" s="71"/>
      <c r="J59" s="71"/>
    </row>
    <row r="60" customFormat="false" ht="18" hidden="false" customHeight="true" outlineLevel="0" collapsed="false">
      <c r="A60" s="68" t="n">
        <v>55</v>
      </c>
      <c r="B60" s="69"/>
      <c r="C60" s="69"/>
      <c r="D60" s="69"/>
      <c r="E60" s="69"/>
      <c r="F60" s="69" t="str">
        <f aca="false">IF(D60="","",E60+1)</f>
        <v/>
      </c>
      <c r="G60" s="69"/>
      <c r="H60" s="69"/>
      <c r="I60" s="69"/>
      <c r="J60" s="69"/>
    </row>
    <row r="61" customFormat="false" ht="18" hidden="false" customHeight="true" outlineLevel="0" collapsed="false">
      <c r="A61" s="70" t="n">
        <v>56</v>
      </c>
      <c r="B61" s="71"/>
      <c r="C61" s="71"/>
      <c r="D61" s="71"/>
      <c r="E61" s="71"/>
      <c r="F61" s="71" t="str">
        <f aca="false">IF(D61="","",E61+1)</f>
        <v/>
      </c>
      <c r="G61" s="71"/>
      <c r="H61" s="71"/>
      <c r="I61" s="71"/>
      <c r="J61" s="71"/>
    </row>
    <row r="62" customFormat="false" ht="18" hidden="false" customHeight="true" outlineLevel="0" collapsed="false">
      <c r="A62" s="68" t="n">
        <v>57</v>
      </c>
      <c r="B62" s="69"/>
      <c r="C62" s="69"/>
      <c r="D62" s="69"/>
      <c r="E62" s="69"/>
      <c r="F62" s="69" t="str">
        <f aca="false">IF(D62="","",E62+1)</f>
        <v/>
      </c>
      <c r="G62" s="69"/>
      <c r="H62" s="69"/>
      <c r="I62" s="69"/>
      <c r="J62" s="69"/>
    </row>
    <row r="63" customFormat="false" ht="18" hidden="false" customHeight="true" outlineLevel="0" collapsed="false">
      <c r="A63" s="70" t="n">
        <v>58</v>
      </c>
      <c r="B63" s="71"/>
      <c r="C63" s="71"/>
      <c r="D63" s="71"/>
      <c r="E63" s="71"/>
      <c r="F63" s="71" t="str">
        <f aca="false">IF(D63="","",E63+1)</f>
        <v/>
      </c>
      <c r="G63" s="71"/>
      <c r="H63" s="71"/>
      <c r="I63" s="71"/>
      <c r="J63" s="71"/>
    </row>
    <row r="64" customFormat="false" ht="18" hidden="false" customHeight="true" outlineLevel="0" collapsed="false">
      <c r="A64" s="68" t="n">
        <v>59</v>
      </c>
      <c r="B64" s="69"/>
      <c r="C64" s="69"/>
      <c r="D64" s="69"/>
      <c r="E64" s="69"/>
      <c r="F64" s="69" t="str">
        <f aca="false">IF(D64="","",E64+1)</f>
        <v/>
      </c>
      <c r="G64" s="69"/>
      <c r="H64" s="69"/>
      <c r="I64" s="69"/>
      <c r="J64" s="69"/>
    </row>
    <row r="65" customFormat="false" ht="18" hidden="false" customHeight="true" outlineLevel="0" collapsed="false">
      <c r="A65" s="70" t="n">
        <v>60</v>
      </c>
      <c r="B65" s="71"/>
      <c r="C65" s="71"/>
      <c r="D65" s="71"/>
      <c r="E65" s="71"/>
      <c r="F65" s="71" t="str">
        <f aca="false">IF(D65="","",E65+1)</f>
        <v/>
      </c>
      <c r="G65" s="71"/>
      <c r="H65" s="71"/>
      <c r="I65" s="71"/>
      <c r="J65" s="71"/>
    </row>
    <row r="66" customFormat="false" ht="18" hidden="false" customHeight="true" outlineLevel="0" collapsed="false">
      <c r="A66" s="68" t="n">
        <v>61</v>
      </c>
      <c r="B66" s="69"/>
      <c r="C66" s="69"/>
      <c r="D66" s="69"/>
      <c r="E66" s="69"/>
      <c r="F66" s="69" t="str">
        <f aca="false">IF(D66="","",E66+1)</f>
        <v/>
      </c>
      <c r="G66" s="69"/>
      <c r="H66" s="69"/>
      <c r="I66" s="69"/>
      <c r="J66" s="69"/>
    </row>
    <row r="67" customFormat="false" ht="18" hidden="false" customHeight="true" outlineLevel="0" collapsed="false">
      <c r="A67" s="70" t="n">
        <v>62</v>
      </c>
      <c r="B67" s="71"/>
      <c r="C67" s="71"/>
      <c r="D67" s="71"/>
      <c r="E67" s="71"/>
      <c r="F67" s="71" t="str">
        <f aca="false">IF(D67="","",E67+1)</f>
        <v/>
      </c>
      <c r="G67" s="71"/>
      <c r="H67" s="71"/>
      <c r="I67" s="71"/>
      <c r="J67" s="71"/>
    </row>
    <row r="68" customFormat="false" ht="18" hidden="false" customHeight="true" outlineLevel="0" collapsed="false">
      <c r="A68" s="68" t="n">
        <v>63</v>
      </c>
      <c r="B68" s="69"/>
      <c r="C68" s="69"/>
      <c r="D68" s="69"/>
      <c r="E68" s="69"/>
      <c r="F68" s="69" t="str">
        <f aca="false">IF(D68="","",E68+1)</f>
        <v/>
      </c>
      <c r="G68" s="69"/>
      <c r="H68" s="69"/>
      <c r="I68" s="69"/>
      <c r="J68" s="69"/>
    </row>
    <row r="69" customFormat="false" ht="18" hidden="false" customHeight="true" outlineLevel="0" collapsed="false">
      <c r="A69" s="70" t="n">
        <v>64</v>
      </c>
      <c r="B69" s="71"/>
      <c r="C69" s="71"/>
      <c r="D69" s="71"/>
      <c r="E69" s="71"/>
      <c r="F69" s="71" t="str">
        <f aca="false">IF(D69="","",E69+1)</f>
        <v/>
      </c>
      <c r="G69" s="71"/>
      <c r="H69" s="71"/>
      <c r="I69" s="71"/>
      <c r="J69" s="71"/>
    </row>
    <row r="70" customFormat="false" ht="18" hidden="false" customHeight="true" outlineLevel="0" collapsed="false">
      <c r="A70" s="68" t="n">
        <v>65</v>
      </c>
      <c r="B70" s="69"/>
      <c r="C70" s="69"/>
      <c r="D70" s="69"/>
      <c r="E70" s="69"/>
      <c r="F70" s="69" t="str">
        <f aca="false">IF(D70="","",E70+1)</f>
        <v/>
      </c>
      <c r="G70" s="69"/>
      <c r="H70" s="69"/>
      <c r="I70" s="69"/>
      <c r="J70" s="69"/>
    </row>
    <row r="71" customFormat="false" ht="18" hidden="false" customHeight="true" outlineLevel="0" collapsed="false">
      <c r="A71" s="70" t="n">
        <v>66</v>
      </c>
      <c r="B71" s="71"/>
      <c r="C71" s="71"/>
      <c r="D71" s="71"/>
      <c r="E71" s="71"/>
      <c r="F71" s="71" t="str">
        <f aca="false">IF(D71="","",E71+1)</f>
        <v/>
      </c>
      <c r="G71" s="71"/>
      <c r="H71" s="71"/>
      <c r="I71" s="71"/>
      <c r="J71" s="71"/>
    </row>
    <row r="72" customFormat="false" ht="18" hidden="false" customHeight="true" outlineLevel="0" collapsed="false">
      <c r="A72" s="68" t="n">
        <v>67</v>
      </c>
      <c r="B72" s="69"/>
      <c r="C72" s="69"/>
      <c r="D72" s="69"/>
      <c r="E72" s="69"/>
      <c r="F72" s="69" t="str">
        <f aca="false">IF(D72="","",E72+1)</f>
        <v/>
      </c>
      <c r="G72" s="69"/>
      <c r="H72" s="69"/>
      <c r="I72" s="69"/>
      <c r="J72" s="69"/>
    </row>
    <row r="73" customFormat="false" ht="18" hidden="false" customHeight="true" outlineLevel="0" collapsed="false">
      <c r="A73" s="70" t="n">
        <v>68</v>
      </c>
      <c r="B73" s="71"/>
      <c r="C73" s="71"/>
      <c r="D73" s="71"/>
      <c r="E73" s="71"/>
      <c r="F73" s="71" t="str">
        <f aca="false">IF(D73="","",E73+1)</f>
        <v/>
      </c>
      <c r="G73" s="71"/>
      <c r="H73" s="71"/>
      <c r="I73" s="71"/>
      <c r="J73" s="71"/>
    </row>
    <row r="74" customFormat="false" ht="18" hidden="false" customHeight="true" outlineLevel="0" collapsed="false">
      <c r="A74" s="68" t="n">
        <v>69</v>
      </c>
      <c r="B74" s="69"/>
      <c r="C74" s="69"/>
      <c r="D74" s="69"/>
      <c r="E74" s="69"/>
      <c r="F74" s="69" t="str">
        <f aca="false">IF(D74="","",E74+1)</f>
        <v/>
      </c>
      <c r="G74" s="69"/>
      <c r="H74" s="69"/>
      <c r="I74" s="69"/>
      <c r="J74" s="69"/>
    </row>
    <row r="75" customFormat="false" ht="18" hidden="false" customHeight="true" outlineLevel="0" collapsed="false">
      <c r="A75" s="70" t="n">
        <v>70</v>
      </c>
      <c r="B75" s="71"/>
      <c r="C75" s="71"/>
      <c r="D75" s="71"/>
      <c r="E75" s="71"/>
      <c r="F75" s="71" t="str">
        <f aca="false">IF(D75="","",E75+1)</f>
        <v/>
      </c>
      <c r="G75" s="71"/>
      <c r="H75" s="71"/>
      <c r="I75" s="71"/>
      <c r="J75" s="71"/>
    </row>
    <row r="76" customFormat="false" ht="18" hidden="false" customHeight="true" outlineLevel="0" collapsed="false">
      <c r="A76" s="68" t="n">
        <v>71</v>
      </c>
      <c r="B76" s="69"/>
      <c r="C76" s="69"/>
      <c r="D76" s="69"/>
      <c r="E76" s="69"/>
      <c r="F76" s="69" t="str">
        <f aca="false">IF(D76="","",E76+1)</f>
        <v/>
      </c>
      <c r="G76" s="69"/>
      <c r="H76" s="69"/>
      <c r="I76" s="69"/>
      <c r="J76" s="69"/>
    </row>
    <row r="77" customFormat="false" ht="18" hidden="false" customHeight="true" outlineLevel="0" collapsed="false">
      <c r="A77" s="70" t="n">
        <v>72</v>
      </c>
      <c r="B77" s="71"/>
      <c r="C77" s="71"/>
      <c r="D77" s="71"/>
      <c r="E77" s="71"/>
      <c r="F77" s="71" t="str">
        <f aca="false">IF(D77="","",E77+1)</f>
        <v/>
      </c>
      <c r="G77" s="71"/>
      <c r="H77" s="71"/>
      <c r="I77" s="71"/>
      <c r="J77" s="71"/>
    </row>
    <row r="78" customFormat="false" ht="18" hidden="false" customHeight="true" outlineLevel="0" collapsed="false">
      <c r="A78" s="68" t="n">
        <v>73</v>
      </c>
      <c r="B78" s="69"/>
      <c r="C78" s="69"/>
      <c r="D78" s="69"/>
      <c r="E78" s="69"/>
      <c r="F78" s="69" t="str">
        <f aca="false">IF(D78="","",E78+1)</f>
        <v/>
      </c>
      <c r="G78" s="69"/>
      <c r="H78" s="69"/>
      <c r="I78" s="69"/>
      <c r="J78" s="69"/>
    </row>
    <row r="79" customFormat="false" ht="18" hidden="false" customHeight="true" outlineLevel="0" collapsed="false">
      <c r="A79" s="70" t="n">
        <v>74</v>
      </c>
      <c r="B79" s="71"/>
      <c r="C79" s="71"/>
      <c r="D79" s="71"/>
      <c r="E79" s="71"/>
      <c r="F79" s="71" t="str">
        <f aca="false">IF(D79="","",E79+1)</f>
        <v/>
      </c>
      <c r="G79" s="71"/>
      <c r="H79" s="71"/>
      <c r="I79" s="71"/>
      <c r="J79" s="71"/>
    </row>
    <row r="80" customFormat="false" ht="18" hidden="false" customHeight="true" outlineLevel="0" collapsed="false">
      <c r="A80" s="68" t="n">
        <v>75</v>
      </c>
      <c r="B80" s="69"/>
      <c r="C80" s="69"/>
      <c r="D80" s="69"/>
      <c r="E80" s="69"/>
      <c r="F80" s="69" t="str">
        <f aca="false">IF(D80="","",E80+1)</f>
        <v/>
      </c>
      <c r="G80" s="69"/>
      <c r="H80" s="69"/>
      <c r="I80" s="69"/>
      <c r="J80" s="69"/>
    </row>
    <row r="81" customFormat="false" ht="18" hidden="false" customHeight="true" outlineLevel="0" collapsed="false">
      <c r="A81" s="70" t="n">
        <v>76</v>
      </c>
      <c r="B81" s="71"/>
      <c r="C81" s="71"/>
      <c r="D81" s="71"/>
      <c r="E81" s="71"/>
      <c r="F81" s="71" t="str">
        <f aca="false">IF(D81="","",E81+1)</f>
        <v/>
      </c>
      <c r="G81" s="71"/>
      <c r="H81" s="71"/>
      <c r="I81" s="71"/>
      <c r="J81" s="71"/>
    </row>
    <row r="82" customFormat="false" ht="18" hidden="false" customHeight="true" outlineLevel="0" collapsed="false">
      <c r="A82" s="68" t="n">
        <v>77</v>
      </c>
      <c r="B82" s="69"/>
      <c r="C82" s="69"/>
      <c r="D82" s="69"/>
      <c r="E82" s="69"/>
      <c r="F82" s="69" t="str">
        <f aca="false">IF(D82="","",E82+1)</f>
        <v/>
      </c>
      <c r="G82" s="69"/>
      <c r="H82" s="69"/>
      <c r="I82" s="69"/>
      <c r="J82" s="69"/>
    </row>
    <row r="83" customFormat="false" ht="18" hidden="false" customHeight="true" outlineLevel="0" collapsed="false">
      <c r="A83" s="70" t="n">
        <v>78</v>
      </c>
      <c r="B83" s="71"/>
      <c r="C83" s="71"/>
      <c r="D83" s="71"/>
      <c r="E83" s="71"/>
      <c r="F83" s="71" t="str">
        <f aca="false">IF(D83="","",E83+1)</f>
        <v/>
      </c>
      <c r="G83" s="71"/>
      <c r="H83" s="71"/>
      <c r="I83" s="71"/>
      <c r="J83" s="71"/>
    </row>
    <row r="84" customFormat="false" ht="18" hidden="false" customHeight="true" outlineLevel="0" collapsed="false">
      <c r="A84" s="68" t="n">
        <v>79</v>
      </c>
      <c r="B84" s="69"/>
      <c r="C84" s="69"/>
      <c r="D84" s="69"/>
      <c r="E84" s="69"/>
      <c r="F84" s="69" t="str">
        <f aca="false">IF(D84="","",E84+1)</f>
        <v/>
      </c>
      <c r="G84" s="69"/>
      <c r="H84" s="69"/>
      <c r="I84" s="69"/>
      <c r="J84" s="69"/>
    </row>
    <row r="85" customFormat="false" ht="18" hidden="false" customHeight="true" outlineLevel="0" collapsed="false">
      <c r="A85" s="70" t="n">
        <v>80</v>
      </c>
      <c r="B85" s="71"/>
      <c r="C85" s="71"/>
      <c r="D85" s="71"/>
      <c r="E85" s="71"/>
      <c r="F85" s="71" t="str">
        <f aca="false">IF(D85="","",E85+1)</f>
        <v/>
      </c>
      <c r="G85" s="71"/>
      <c r="H85" s="71"/>
      <c r="I85" s="71"/>
      <c r="J85" s="71"/>
    </row>
    <row r="86" customFormat="false" ht="18" hidden="false" customHeight="true" outlineLevel="0" collapsed="false">
      <c r="A86" s="68" t="n">
        <v>81</v>
      </c>
      <c r="B86" s="69"/>
      <c r="C86" s="69"/>
      <c r="D86" s="69"/>
      <c r="E86" s="69"/>
      <c r="F86" s="69" t="str">
        <f aca="false">IF(D86="","",E86+1)</f>
        <v/>
      </c>
      <c r="G86" s="69"/>
      <c r="H86" s="69"/>
      <c r="I86" s="69"/>
      <c r="J86" s="69"/>
    </row>
    <row r="87" customFormat="false" ht="18" hidden="false" customHeight="true" outlineLevel="0" collapsed="false">
      <c r="A87" s="70" t="n">
        <v>82</v>
      </c>
      <c r="B87" s="71"/>
      <c r="C87" s="71"/>
      <c r="D87" s="71"/>
      <c r="E87" s="71"/>
      <c r="F87" s="71" t="str">
        <f aca="false">IF(D87="","",E87+1)</f>
        <v/>
      </c>
      <c r="G87" s="71"/>
      <c r="H87" s="71"/>
      <c r="I87" s="71"/>
      <c r="J87" s="71"/>
    </row>
    <row r="88" customFormat="false" ht="18" hidden="false" customHeight="true" outlineLevel="0" collapsed="false">
      <c r="A88" s="68" t="n">
        <v>83</v>
      </c>
      <c r="B88" s="69"/>
      <c r="C88" s="69"/>
      <c r="D88" s="69"/>
      <c r="E88" s="69"/>
      <c r="F88" s="69" t="str">
        <f aca="false">IF(D88="","",E88+1)</f>
        <v/>
      </c>
      <c r="G88" s="69"/>
      <c r="H88" s="69"/>
      <c r="I88" s="69"/>
      <c r="J88" s="69"/>
    </row>
    <row r="89" customFormat="false" ht="18" hidden="false" customHeight="true" outlineLevel="0" collapsed="false">
      <c r="A89" s="70" t="n">
        <v>84</v>
      </c>
      <c r="B89" s="71"/>
      <c r="C89" s="71"/>
      <c r="D89" s="71"/>
      <c r="E89" s="71"/>
      <c r="F89" s="71" t="str">
        <f aca="false">IF(D89="","",E89+1)</f>
        <v/>
      </c>
      <c r="G89" s="71"/>
      <c r="H89" s="71"/>
      <c r="I89" s="71"/>
      <c r="J89" s="71"/>
    </row>
    <row r="90" customFormat="false" ht="18" hidden="false" customHeight="true" outlineLevel="0" collapsed="false">
      <c r="A90" s="68" t="n">
        <v>85</v>
      </c>
      <c r="B90" s="69"/>
      <c r="C90" s="69"/>
      <c r="D90" s="69"/>
      <c r="E90" s="69"/>
      <c r="F90" s="69" t="str">
        <f aca="false">IF(D90="","",E90+1)</f>
        <v/>
      </c>
      <c r="G90" s="69"/>
      <c r="H90" s="69"/>
      <c r="I90" s="69"/>
      <c r="J90" s="69"/>
    </row>
    <row r="91" customFormat="false" ht="18" hidden="false" customHeight="true" outlineLevel="0" collapsed="false">
      <c r="A91" s="70" t="n">
        <v>86</v>
      </c>
      <c r="B91" s="71"/>
      <c r="C91" s="71"/>
      <c r="D91" s="71"/>
      <c r="E91" s="71"/>
      <c r="F91" s="71" t="str">
        <f aca="false">IF(D91="","",E91+1)</f>
        <v/>
      </c>
      <c r="G91" s="71"/>
      <c r="H91" s="71"/>
      <c r="I91" s="71"/>
      <c r="J91" s="71"/>
    </row>
    <row r="92" customFormat="false" ht="18" hidden="false" customHeight="true" outlineLevel="0" collapsed="false">
      <c r="A92" s="68" t="n">
        <v>87</v>
      </c>
      <c r="B92" s="69"/>
      <c r="C92" s="69"/>
      <c r="D92" s="69"/>
      <c r="E92" s="69"/>
      <c r="F92" s="69" t="str">
        <f aca="false">IF(D92="","",E92+1)</f>
        <v/>
      </c>
      <c r="G92" s="69"/>
      <c r="H92" s="69"/>
      <c r="I92" s="69"/>
      <c r="J92" s="69"/>
    </row>
    <row r="93" customFormat="false" ht="18" hidden="false" customHeight="true" outlineLevel="0" collapsed="false">
      <c r="A93" s="70" t="n">
        <v>88</v>
      </c>
      <c r="B93" s="71"/>
      <c r="C93" s="71"/>
      <c r="D93" s="71"/>
      <c r="E93" s="71"/>
      <c r="F93" s="71" t="str">
        <f aca="false">IF(D93="","",E93+1)</f>
        <v/>
      </c>
      <c r="G93" s="71"/>
      <c r="H93" s="71"/>
      <c r="I93" s="71"/>
      <c r="J93" s="71"/>
    </row>
    <row r="94" customFormat="false" ht="18" hidden="false" customHeight="true" outlineLevel="0" collapsed="false">
      <c r="A94" s="68" t="n">
        <v>89</v>
      </c>
      <c r="B94" s="69"/>
      <c r="C94" s="69"/>
      <c r="D94" s="69"/>
      <c r="E94" s="69"/>
      <c r="F94" s="69" t="str">
        <f aca="false">IF(D94="","",E94+1)</f>
        <v/>
      </c>
      <c r="G94" s="69"/>
      <c r="H94" s="69"/>
      <c r="I94" s="69"/>
      <c r="J94" s="69"/>
    </row>
    <row r="95" customFormat="false" ht="18" hidden="false" customHeight="true" outlineLevel="0" collapsed="false">
      <c r="A95" s="70" t="n">
        <v>90</v>
      </c>
      <c r="B95" s="71"/>
      <c r="C95" s="71"/>
      <c r="D95" s="71"/>
      <c r="E95" s="71"/>
      <c r="F95" s="71" t="str">
        <f aca="false">IF(D95="","",E95+1)</f>
        <v/>
      </c>
      <c r="G95" s="71"/>
      <c r="H95" s="71"/>
      <c r="I95" s="71"/>
      <c r="J95" s="71"/>
    </row>
    <row r="96" customFormat="false" ht="18" hidden="false" customHeight="true" outlineLevel="0" collapsed="false">
      <c r="A96" s="68" t="n">
        <v>91</v>
      </c>
      <c r="B96" s="69"/>
      <c r="C96" s="69"/>
      <c r="D96" s="69"/>
      <c r="E96" s="69"/>
      <c r="F96" s="69" t="str">
        <f aca="false">IF(D96="","",E96+1)</f>
        <v/>
      </c>
      <c r="G96" s="69"/>
      <c r="H96" s="69"/>
      <c r="I96" s="69"/>
      <c r="J96" s="69"/>
    </row>
    <row r="97" customFormat="false" ht="18" hidden="false" customHeight="true" outlineLevel="0" collapsed="false">
      <c r="A97" s="70" t="n">
        <v>92</v>
      </c>
      <c r="B97" s="71"/>
      <c r="C97" s="71"/>
      <c r="D97" s="71"/>
      <c r="E97" s="71"/>
      <c r="F97" s="71" t="str">
        <f aca="false">IF(D97="","",E97+1)</f>
        <v/>
      </c>
      <c r="G97" s="71"/>
      <c r="H97" s="71"/>
      <c r="I97" s="71"/>
      <c r="J97" s="71"/>
    </row>
    <row r="98" customFormat="false" ht="18" hidden="false" customHeight="true" outlineLevel="0" collapsed="false">
      <c r="A98" s="68" t="n">
        <v>93</v>
      </c>
      <c r="B98" s="69"/>
      <c r="C98" s="69"/>
      <c r="D98" s="69"/>
      <c r="E98" s="69"/>
      <c r="F98" s="69" t="str">
        <f aca="false">IF(D98="","",E98+1)</f>
        <v/>
      </c>
      <c r="G98" s="69"/>
      <c r="H98" s="69"/>
      <c r="I98" s="69"/>
      <c r="J98" s="69"/>
    </row>
    <row r="99" customFormat="false" ht="18" hidden="false" customHeight="true" outlineLevel="0" collapsed="false">
      <c r="A99" s="70" t="n">
        <v>94</v>
      </c>
      <c r="B99" s="71"/>
      <c r="C99" s="71"/>
      <c r="D99" s="71"/>
      <c r="E99" s="71"/>
      <c r="F99" s="71" t="str">
        <f aca="false">IF(D99="","",E99+1)</f>
        <v/>
      </c>
      <c r="G99" s="71"/>
      <c r="H99" s="71"/>
      <c r="I99" s="71"/>
      <c r="J99" s="71"/>
    </row>
    <row r="100" customFormat="false" ht="18" hidden="false" customHeight="true" outlineLevel="0" collapsed="false">
      <c r="A100" s="68" t="n">
        <v>95</v>
      </c>
      <c r="B100" s="69"/>
      <c r="C100" s="69"/>
      <c r="D100" s="69"/>
      <c r="E100" s="69"/>
      <c r="F100" s="69" t="str">
        <f aca="false">IF(D100="","",E100+1)</f>
        <v/>
      </c>
      <c r="G100" s="69"/>
      <c r="H100" s="69"/>
      <c r="I100" s="69"/>
      <c r="J100" s="69"/>
    </row>
    <row r="101" customFormat="false" ht="18" hidden="false" customHeight="true" outlineLevel="0" collapsed="false">
      <c r="A101" s="70" t="n">
        <v>96</v>
      </c>
      <c r="B101" s="71"/>
      <c r="C101" s="71"/>
      <c r="D101" s="71"/>
      <c r="E101" s="71"/>
      <c r="F101" s="71" t="str">
        <f aca="false">IF(D101="","",E101+1)</f>
        <v/>
      </c>
      <c r="G101" s="71"/>
      <c r="H101" s="71"/>
      <c r="I101" s="71"/>
      <c r="J101" s="71"/>
    </row>
    <row r="102" customFormat="false" ht="18" hidden="false" customHeight="true" outlineLevel="0" collapsed="false">
      <c r="A102" s="68" t="n">
        <v>97</v>
      </c>
      <c r="B102" s="69"/>
      <c r="C102" s="69"/>
      <c r="D102" s="69"/>
      <c r="E102" s="69"/>
      <c r="F102" s="69" t="str">
        <f aca="false">IF(D102="","",E102+1)</f>
        <v/>
      </c>
      <c r="G102" s="69"/>
      <c r="H102" s="69"/>
      <c r="I102" s="69"/>
      <c r="J102" s="69"/>
    </row>
    <row r="103" customFormat="false" ht="18" hidden="false" customHeight="true" outlineLevel="0" collapsed="false">
      <c r="A103" s="70" t="n">
        <v>98</v>
      </c>
      <c r="B103" s="71"/>
      <c r="C103" s="71"/>
      <c r="D103" s="71"/>
      <c r="E103" s="71"/>
      <c r="F103" s="71" t="str">
        <f aca="false">IF(D103="","",E103+1)</f>
        <v/>
      </c>
      <c r="G103" s="71"/>
      <c r="H103" s="71"/>
      <c r="I103" s="71"/>
      <c r="J103" s="71"/>
    </row>
    <row r="104" customFormat="false" ht="18" hidden="false" customHeight="true" outlineLevel="0" collapsed="false">
      <c r="A104" s="68" t="n">
        <v>99</v>
      </c>
      <c r="B104" s="69"/>
      <c r="C104" s="69"/>
      <c r="D104" s="69"/>
      <c r="E104" s="69"/>
      <c r="F104" s="69" t="str">
        <f aca="false">IF(D104="","",E104+1)</f>
        <v/>
      </c>
      <c r="G104" s="69"/>
      <c r="H104" s="69"/>
      <c r="I104" s="69"/>
      <c r="J104" s="69"/>
    </row>
    <row r="105" customFormat="false" ht="18" hidden="false" customHeight="true" outlineLevel="0" collapsed="false">
      <c r="A105" s="70" t="n">
        <v>100</v>
      </c>
      <c r="B105" s="71"/>
      <c r="C105" s="71"/>
      <c r="D105" s="71"/>
      <c r="E105" s="71"/>
      <c r="F105" s="71" t="str">
        <f aca="false">IF(D105="","",E105+1)</f>
        <v/>
      </c>
      <c r="G105" s="71"/>
      <c r="H105" s="71"/>
      <c r="I105" s="71"/>
      <c r="J105" s="71"/>
    </row>
    <row r="106" customFormat="false" ht="18" hidden="false" customHeight="true" outlineLevel="0" collapsed="false">
      <c r="A106" s="68" t="n">
        <v>101</v>
      </c>
      <c r="B106" s="69"/>
      <c r="C106" s="69"/>
      <c r="D106" s="69"/>
      <c r="E106" s="69"/>
      <c r="F106" s="69" t="str">
        <f aca="false">IF(D106="","",E106+1)</f>
        <v/>
      </c>
      <c r="G106" s="69"/>
      <c r="H106" s="69"/>
      <c r="I106" s="69"/>
      <c r="J106" s="69"/>
    </row>
    <row r="107" customFormat="false" ht="18" hidden="false" customHeight="true" outlineLevel="0" collapsed="false">
      <c r="A107" s="70" t="n">
        <v>102</v>
      </c>
      <c r="B107" s="71"/>
      <c r="C107" s="71"/>
      <c r="D107" s="71"/>
      <c r="E107" s="71"/>
      <c r="F107" s="71" t="str">
        <f aca="false">IF(D107="","",E107+1)</f>
        <v/>
      </c>
      <c r="G107" s="71"/>
      <c r="H107" s="71"/>
      <c r="I107" s="71"/>
      <c r="J107" s="71"/>
    </row>
    <row r="108" customFormat="false" ht="18" hidden="false" customHeight="true" outlineLevel="0" collapsed="false">
      <c r="A108" s="68" t="n">
        <v>103</v>
      </c>
      <c r="B108" s="69"/>
      <c r="C108" s="69"/>
      <c r="D108" s="69"/>
      <c r="E108" s="69"/>
      <c r="F108" s="69" t="str">
        <f aca="false">IF(D108="","",E108+1)</f>
        <v/>
      </c>
      <c r="G108" s="69"/>
      <c r="H108" s="69"/>
      <c r="I108" s="69"/>
      <c r="J108" s="69"/>
    </row>
    <row r="109" customFormat="false" ht="18" hidden="false" customHeight="true" outlineLevel="0" collapsed="false">
      <c r="A109" s="70" t="n">
        <v>104</v>
      </c>
      <c r="B109" s="71"/>
      <c r="C109" s="71"/>
      <c r="D109" s="71"/>
      <c r="E109" s="71"/>
      <c r="F109" s="71" t="str">
        <f aca="false">IF(D109="","",E109+1)</f>
        <v/>
      </c>
      <c r="G109" s="71"/>
      <c r="H109" s="71"/>
      <c r="I109" s="71"/>
      <c r="J109" s="71"/>
    </row>
    <row r="110" customFormat="false" ht="18" hidden="false" customHeight="true" outlineLevel="0" collapsed="false">
      <c r="A110" s="68" t="n">
        <v>105</v>
      </c>
      <c r="B110" s="69"/>
      <c r="C110" s="69"/>
      <c r="D110" s="69"/>
      <c r="E110" s="69"/>
      <c r="F110" s="69" t="str">
        <f aca="false">IF(D110="","",E110+1)</f>
        <v/>
      </c>
      <c r="G110" s="69"/>
      <c r="H110" s="69"/>
      <c r="I110" s="69"/>
      <c r="J110" s="69"/>
    </row>
    <row r="111" customFormat="false" ht="18" hidden="false" customHeight="true" outlineLevel="0" collapsed="false">
      <c r="A111" s="70" t="n">
        <v>106</v>
      </c>
      <c r="B111" s="71"/>
      <c r="C111" s="71"/>
      <c r="D111" s="71"/>
      <c r="E111" s="71"/>
      <c r="F111" s="71" t="str">
        <f aca="false">IF(D111="","",E111+1)</f>
        <v/>
      </c>
      <c r="G111" s="71"/>
      <c r="H111" s="71"/>
      <c r="I111" s="71"/>
      <c r="J111" s="71"/>
    </row>
    <row r="112" customFormat="false" ht="18" hidden="false" customHeight="true" outlineLevel="0" collapsed="false">
      <c r="A112" s="68" t="n">
        <v>107</v>
      </c>
      <c r="B112" s="69"/>
      <c r="C112" s="69"/>
      <c r="D112" s="69"/>
      <c r="E112" s="69"/>
      <c r="F112" s="69" t="str">
        <f aca="false">IF(D112="","",E112+1)</f>
        <v/>
      </c>
      <c r="G112" s="69"/>
      <c r="H112" s="69"/>
      <c r="I112" s="69"/>
      <c r="J112" s="69"/>
    </row>
    <row r="113" customFormat="false" ht="18" hidden="false" customHeight="true" outlineLevel="0" collapsed="false">
      <c r="A113" s="70" t="n">
        <v>108</v>
      </c>
      <c r="B113" s="71"/>
      <c r="C113" s="71"/>
      <c r="D113" s="71"/>
      <c r="E113" s="71"/>
      <c r="F113" s="71" t="str">
        <f aca="false">IF(D113="","",E113+1)</f>
        <v/>
      </c>
      <c r="G113" s="71"/>
      <c r="H113" s="71"/>
      <c r="I113" s="71"/>
      <c r="J113" s="71"/>
    </row>
    <row r="114" customFormat="false" ht="18" hidden="false" customHeight="true" outlineLevel="0" collapsed="false">
      <c r="A114" s="68" t="n">
        <v>109</v>
      </c>
      <c r="B114" s="69"/>
      <c r="C114" s="69"/>
      <c r="D114" s="69"/>
      <c r="E114" s="69"/>
      <c r="F114" s="69" t="str">
        <f aca="false">IF(D114="","",E114+1)</f>
        <v/>
      </c>
      <c r="G114" s="69"/>
      <c r="H114" s="69"/>
      <c r="I114" s="69"/>
      <c r="J114" s="69"/>
    </row>
    <row r="115" customFormat="false" ht="18" hidden="false" customHeight="true" outlineLevel="0" collapsed="false">
      <c r="A115" s="70" t="n">
        <v>110</v>
      </c>
      <c r="B115" s="71"/>
      <c r="C115" s="71"/>
      <c r="D115" s="71"/>
      <c r="E115" s="71"/>
      <c r="F115" s="71" t="str">
        <f aca="false">IF(D115="","",E115+1)</f>
        <v/>
      </c>
      <c r="G115" s="71"/>
      <c r="H115" s="71"/>
      <c r="I115" s="71"/>
      <c r="J115" s="71"/>
    </row>
    <row r="116" customFormat="false" ht="18" hidden="false" customHeight="true" outlineLevel="0" collapsed="false">
      <c r="A116" s="68" t="n">
        <v>111</v>
      </c>
      <c r="B116" s="69"/>
      <c r="C116" s="69"/>
      <c r="D116" s="69"/>
      <c r="E116" s="69"/>
      <c r="F116" s="69" t="str">
        <f aca="false">IF(D116="","",E116+1)</f>
        <v/>
      </c>
      <c r="G116" s="69"/>
      <c r="H116" s="69"/>
      <c r="I116" s="69"/>
      <c r="J116" s="69"/>
    </row>
    <row r="117" customFormat="false" ht="18" hidden="false" customHeight="true" outlineLevel="0" collapsed="false">
      <c r="A117" s="70" t="n">
        <v>112</v>
      </c>
      <c r="B117" s="71"/>
      <c r="C117" s="71"/>
      <c r="D117" s="71"/>
      <c r="E117" s="71"/>
      <c r="F117" s="71" t="str">
        <f aca="false">IF(D117="","",E117+1)</f>
        <v/>
      </c>
      <c r="G117" s="71"/>
      <c r="H117" s="71"/>
      <c r="I117" s="71"/>
      <c r="J117" s="71"/>
    </row>
    <row r="118" customFormat="false" ht="18" hidden="false" customHeight="true" outlineLevel="0" collapsed="false">
      <c r="A118" s="68" t="n">
        <v>113</v>
      </c>
      <c r="B118" s="69"/>
      <c r="C118" s="69"/>
      <c r="D118" s="69"/>
      <c r="E118" s="69"/>
      <c r="F118" s="69" t="str">
        <f aca="false">IF(D118="","",E118+1)</f>
        <v/>
      </c>
      <c r="G118" s="69"/>
      <c r="H118" s="69"/>
      <c r="I118" s="69"/>
      <c r="J118" s="69"/>
    </row>
    <row r="119" customFormat="false" ht="18" hidden="false" customHeight="true" outlineLevel="0" collapsed="false">
      <c r="A119" s="70" t="n">
        <v>114</v>
      </c>
      <c r="B119" s="71"/>
      <c r="C119" s="71"/>
      <c r="D119" s="71"/>
      <c r="E119" s="71"/>
      <c r="F119" s="71" t="str">
        <f aca="false">IF(D119="","",E119+1)</f>
        <v/>
      </c>
      <c r="G119" s="71"/>
      <c r="H119" s="71"/>
      <c r="I119" s="71"/>
      <c r="J119" s="71"/>
    </row>
    <row r="120" customFormat="false" ht="18" hidden="false" customHeight="true" outlineLevel="0" collapsed="false">
      <c r="A120" s="68" t="n">
        <v>115</v>
      </c>
      <c r="B120" s="69"/>
      <c r="C120" s="69"/>
      <c r="D120" s="69"/>
      <c r="E120" s="69"/>
      <c r="F120" s="69" t="str">
        <f aca="false">IF(D120="","",E120+1)</f>
        <v/>
      </c>
      <c r="G120" s="69"/>
      <c r="H120" s="69"/>
      <c r="I120" s="69"/>
      <c r="J120" s="69"/>
    </row>
    <row r="121" customFormat="false" ht="18" hidden="false" customHeight="true" outlineLevel="0" collapsed="false">
      <c r="A121" s="70" t="n">
        <v>116</v>
      </c>
      <c r="B121" s="71"/>
      <c r="C121" s="71"/>
      <c r="D121" s="71"/>
      <c r="E121" s="71"/>
      <c r="F121" s="71" t="str">
        <f aca="false">IF(D121="","",E121+1)</f>
        <v/>
      </c>
      <c r="G121" s="71"/>
      <c r="H121" s="71"/>
      <c r="I121" s="71"/>
      <c r="J121" s="71"/>
    </row>
    <row r="122" customFormat="false" ht="18" hidden="false" customHeight="true" outlineLevel="0" collapsed="false">
      <c r="A122" s="68" t="n">
        <v>117</v>
      </c>
      <c r="B122" s="69"/>
      <c r="C122" s="69"/>
      <c r="D122" s="69"/>
      <c r="E122" s="69"/>
      <c r="F122" s="69" t="str">
        <f aca="false">IF(D122="","",E122+1)</f>
        <v/>
      </c>
      <c r="G122" s="69"/>
      <c r="H122" s="69"/>
      <c r="I122" s="69"/>
      <c r="J122" s="69"/>
    </row>
    <row r="123" customFormat="false" ht="18" hidden="false" customHeight="true" outlineLevel="0" collapsed="false">
      <c r="A123" s="70" t="n">
        <v>118</v>
      </c>
      <c r="B123" s="71"/>
      <c r="C123" s="71"/>
      <c r="D123" s="71"/>
      <c r="E123" s="71"/>
      <c r="F123" s="71" t="str">
        <f aca="false">IF(D123="","",E123+1)</f>
        <v/>
      </c>
      <c r="G123" s="71"/>
      <c r="H123" s="71"/>
      <c r="I123" s="71"/>
      <c r="J123" s="71"/>
    </row>
    <row r="124" customFormat="false" ht="18" hidden="false" customHeight="true" outlineLevel="0" collapsed="false">
      <c r="A124" s="68" t="n">
        <v>119</v>
      </c>
      <c r="B124" s="69"/>
      <c r="C124" s="69"/>
      <c r="D124" s="69"/>
      <c r="E124" s="69"/>
      <c r="F124" s="69" t="str">
        <f aca="false">IF(D124="","",E124+1)</f>
        <v/>
      </c>
      <c r="G124" s="69"/>
      <c r="H124" s="69"/>
      <c r="I124" s="69"/>
      <c r="J124" s="69"/>
    </row>
    <row r="125" customFormat="false" ht="18" hidden="false" customHeight="true" outlineLevel="0" collapsed="false">
      <c r="A125" s="70" t="n">
        <v>120</v>
      </c>
      <c r="B125" s="71"/>
      <c r="C125" s="71"/>
      <c r="D125" s="71"/>
      <c r="E125" s="71"/>
      <c r="F125" s="71" t="str">
        <f aca="false">IF(D125="","",E125+1)</f>
        <v/>
      </c>
      <c r="G125" s="71"/>
      <c r="H125" s="71"/>
      <c r="I125" s="71"/>
      <c r="J125" s="71"/>
    </row>
    <row r="126" customFormat="false" ht="18" hidden="false" customHeight="true" outlineLevel="0" collapsed="false">
      <c r="A126" s="68" t="n">
        <v>121</v>
      </c>
      <c r="B126" s="69"/>
      <c r="C126" s="69"/>
      <c r="D126" s="69"/>
      <c r="E126" s="69"/>
      <c r="F126" s="69" t="str">
        <f aca="false">IF(D126="","",E126+1)</f>
        <v/>
      </c>
      <c r="G126" s="69"/>
      <c r="H126" s="69"/>
      <c r="I126" s="69"/>
      <c r="J126" s="69"/>
    </row>
    <row r="127" customFormat="false" ht="18" hidden="false" customHeight="true" outlineLevel="0" collapsed="false">
      <c r="A127" s="70" t="n">
        <v>122</v>
      </c>
      <c r="B127" s="71"/>
      <c r="C127" s="71"/>
      <c r="D127" s="71"/>
      <c r="E127" s="71"/>
      <c r="F127" s="71" t="str">
        <f aca="false">IF(D127="","",E127+1)</f>
        <v/>
      </c>
      <c r="G127" s="71"/>
      <c r="H127" s="71"/>
      <c r="I127" s="71"/>
      <c r="J127" s="71"/>
    </row>
    <row r="128" customFormat="false" ht="18" hidden="false" customHeight="true" outlineLevel="0" collapsed="false">
      <c r="A128" s="68" t="n">
        <v>123</v>
      </c>
      <c r="B128" s="69"/>
      <c r="C128" s="69"/>
      <c r="D128" s="69"/>
      <c r="E128" s="69"/>
      <c r="F128" s="69" t="str">
        <f aca="false">IF(D128="","",E128+1)</f>
        <v/>
      </c>
      <c r="G128" s="69"/>
      <c r="H128" s="69"/>
      <c r="I128" s="69"/>
      <c r="J128" s="69"/>
    </row>
    <row r="129" customFormat="false" ht="18" hidden="false" customHeight="true" outlineLevel="0" collapsed="false">
      <c r="A129" s="70" t="n">
        <v>124</v>
      </c>
      <c r="B129" s="71"/>
      <c r="C129" s="71"/>
      <c r="D129" s="71"/>
      <c r="E129" s="71"/>
      <c r="F129" s="71" t="str">
        <f aca="false">IF(D129="","",E129+1)</f>
        <v/>
      </c>
      <c r="G129" s="71"/>
      <c r="H129" s="71"/>
      <c r="I129" s="71"/>
      <c r="J129" s="71"/>
    </row>
    <row r="130" customFormat="false" ht="18" hidden="false" customHeight="true" outlineLevel="0" collapsed="false">
      <c r="A130" s="68" t="n">
        <v>125</v>
      </c>
      <c r="B130" s="69"/>
      <c r="C130" s="69"/>
      <c r="D130" s="69"/>
      <c r="E130" s="69"/>
      <c r="F130" s="69" t="str">
        <f aca="false">IF(D130="","",E130+1)</f>
        <v/>
      </c>
      <c r="G130" s="69"/>
      <c r="H130" s="69"/>
      <c r="I130" s="69"/>
      <c r="J130" s="69"/>
    </row>
    <row r="131" customFormat="false" ht="18" hidden="false" customHeight="true" outlineLevel="0" collapsed="false">
      <c r="A131" s="70" t="n">
        <v>126</v>
      </c>
      <c r="B131" s="71"/>
      <c r="C131" s="71"/>
      <c r="D131" s="71"/>
      <c r="E131" s="71"/>
      <c r="F131" s="71" t="str">
        <f aca="false">IF(D131="","",E131+1)</f>
        <v/>
      </c>
      <c r="G131" s="71"/>
      <c r="H131" s="71"/>
      <c r="I131" s="71"/>
      <c r="J131" s="71"/>
    </row>
    <row r="132" customFormat="false" ht="18" hidden="false" customHeight="true" outlineLevel="0" collapsed="false">
      <c r="A132" s="68" t="n">
        <v>127</v>
      </c>
      <c r="B132" s="69"/>
      <c r="C132" s="69"/>
      <c r="D132" s="69"/>
      <c r="E132" s="69"/>
      <c r="F132" s="69" t="str">
        <f aca="false">IF(D132="","",E132+1)</f>
        <v/>
      </c>
      <c r="G132" s="69"/>
      <c r="H132" s="69"/>
      <c r="I132" s="69"/>
      <c r="J132" s="69"/>
    </row>
    <row r="133" customFormat="false" ht="18" hidden="false" customHeight="true" outlineLevel="0" collapsed="false">
      <c r="A133" s="70" t="n">
        <v>128</v>
      </c>
      <c r="B133" s="71"/>
      <c r="C133" s="71"/>
      <c r="D133" s="71"/>
      <c r="E133" s="71"/>
      <c r="F133" s="71" t="str">
        <f aca="false">IF(D133="","",E133+1)</f>
        <v/>
      </c>
      <c r="G133" s="71"/>
      <c r="H133" s="71"/>
      <c r="I133" s="71"/>
      <c r="J133" s="71"/>
    </row>
    <row r="134" customFormat="false" ht="18" hidden="false" customHeight="true" outlineLevel="0" collapsed="false">
      <c r="A134" s="68" t="n">
        <v>129</v>
      </c>
      <c r="B134" s="69"/>
      <c r="C134" s="69"/>
      <c r="D134" s="69"/>
      <c r="E134" s="69"/>
      <c r="F134" s="69" t="str">
        <f aca="false">IF(D134="","",E134+1)</f>
        <v/>
      </c>
      <c r="G134" s="69"/>
      <c r="H134" s="69"/>
      <c r="I134" s="69"/>
      <c r="J134" s="69"/>
    </row>
    <row r="135" customFormat="false" ht="18" hidden="false" customHeight="true" outlineLevel="0" collapsed="false">
      <c r="A135" s="70" t="n">
        <v>130</v>
      </c>
      <c r="B135" s="71"/>
      <c r="C135" s="71"/>
      <c r="D135" s="71"/>
      <c r="E135" s="71"/>
      <c r="F135" s="71" t="str">
        <f aca="false">IF(D135="","",E135+1)</f>
        <v/>
      </c>
      <c r="G135" s="71"/>
      <c r="H135" s="71"/>
      <c r="I135" s="71"/>
      <c r="J135" s="71"/>
    </row>
    <row r="136" customFormat="false" ht="18" hidden="false" customHeight="true" outlineLevel="0" collapsed="false">
      <c r="A136" s="68" t="n">
        <v>131</v>
      </c>
      <c r="B136" s="69"/>
      <c r="C136" s="69"/>
      <c r="D136" s="69"/>
      <c r="E136" s="69"/>
      <c r="F136" s="69" t="str">
        <f aca="false">IF(D136="","",E136+1)</f>
        <v/>
      </c>
      <c r="G136" s="69"/>
      <c r="H136" s="69"/>
      <c r="I136" s="69"/>
      <c r="J136" s="69"/>
    </row>
    <row r="137" customFormat="false" ht="18" hidden="false" customHeight="true" outlineLevel="0" collapsed="false">
      <c r="A137" s="70" t="n">
        <v>132</v>
      </c>
      <c r="B137" s="71"/>
      <c r="C137" s="71"/>
      <c r="D137" s="71"/>
      <c r="E137" s="71"/>
      <c r="F137" s="71" t="str">
        <f aca="false">IF(D137="","",E137+1)</f>
        <v/>
      </c>
      <c r="G137" s="71"/>
      <c r="H137" s="71"/>
      <c r="I137" s="71"/>
      <c r="J137" s="71"/>
    </row>
    <row r="138" customFormat="false" ht="18" hidden="false" customHeight="true" outlineLevel="0" collapsed="false">
      <c r="A138" s="68" t="n">
        <v>133</v>
      </c>
      <c r="B138" s="69"/>
      <c r="C138" s="69"/>
      <c r="D138" s="69"/>
      <c r="E138" s="69"/>
      <c r="F138" s="69" t="str">
        <f aca="false">IF(D138="","",E138+1)</f>
        <v/>
      </c>
      <c r="G138" s="69"/>
      <c r="H138" s="69"/>
      <c r="I138" s="69"/>
      <c r="J138" s="69"/>
    </row>
    <row r="139" customFormat="false" ht="18" hidden="false" customHeight="true" outlineLevel="0" collapsed="false">
      <c r="A139" s="70" t="n">
        <v>134</v>
      </c>
      <c r="B139" s="71"/>
      <c r="C139" s="71"/>
      <c r="D139" s="71"/>
      <c r="E139" s="71"/>
      <c r="F139" s="71" t="str">
        <f aca="false">IF(D139="","",E139+1)</f>
        <v/>
      </c>
      <c r="G139" s="71"/>
      <c r="H139" s="71"/>
      <c r="I139" s="71"/>
      <c r="J139" s="71"/>
    </row>
    <row r="140" customFormat="false" ht="18" hidden="false" customHeight="true" outlineLevel="0" collapsed="false">
      <c r="A140" s="68" t="n">
        <v>135</v>
      </c>
      <c r="B140" s="69"/>
      <c r="C140" s="69"/>
      <c r="D140" s="69"/>
      <c r="E140" s="69"/>
      <c r="F140" s="69" t="str">
        <f aca="false">IF(D140="","",E140+1)</f>
        <v/>
      </c>
      <c r="G140" s="69"/>
      <c r="H140" s="69"/>
      <c r="I140" s="69"/>
      <c r="J140" s="69"/>
    </row>
    <row r="141" customFormat="false" ht="18" hidden="false" customHeight="true" outlineLevel="0" collapsed="false">
      <c r="A141" s="70" t="n">
        <v>136</v>
      </c>
      <c r="B141" s="71"/>
      <c r="C141" s="71"/>
      <c r="D141" s="71"/>
      <c r="E141" s="71"/>
      <c r="F141" s="71" t="str">
        <f aca="false">IF(D141="","",E141+1)</f>
        <v/>
      </c>
      <c r="G141" s="71"/>
      <c r="H141" s="71"/>
      <c r="I141" s="71"/>
      <c r="J141" s="71"/>
    </row>
    <row r="142" customFormat="false" ht="18" hidden="false" customHeight="true" outlineLevel="0" collapsed="false">
      <c r="A142" s="68" t="n">
        <v>137</v>
      </c>
      <c r="B142" s="69"/>
      <c r="C142" s="69"/>
      <c r="D142" s="69"/>
      <c r="E142" s="69"/>
      <c r="F142" s="69" t="str">
        <f aca="false">IF(D142="","",E142+1)</f>
        <v/>
      </c>
      <c r="G142" s="69"/>
      <c r="H142" s="69"/>
      <c r="I142" s="69"/>
      <c r="J142" s="69"/>
    </row>
    <row r="143" customFormat="false" ht="18" hidden="false" customHeight="true" outlineLevel="0" collapsed="false">
      <c r="A143" s="70" t="n">
        <v>138</v>
      </c>
      <c r="B143" s="71"/>
      <c r="C143" s="71"/>
      <c r="D143" s="71"/>
      <c r="E143" s="71"/>
      <c r="F143" s="71" t="str">
        <f aca="false">IF(D143="","",E143+1)</f>
        <v/>
      </c>
      <c r="G143" s="71"/>
      <c r="H143" s="71"/>
      <c r="I143" s="71"/>
      <c r="J143" s="71"/>
    </row>
    <row r="144" customFormat="false" ht="18" hidden="false" customHeight="true" outlineLevel="0" collapsed="false">
      <c r="A144" s="68" t="n">
        <v>139</v>
      </c>
      <c r="B144" s="69"/>
      <c r="C144" s="69"/>
      <c r="D144" s="69"/>
      <c r="E144" s="69"/>
      <c r="F144" s="69" t="str">
        <f aca="false">IF(D144="","",E144+1)</f>
        <v/>
      </c>
      <c r="G144" s="69"/>
      <c r="H144" s="69"/>
      <c r="I144" s="69"/>
      <c r="J144" s="69"/>
    </row>
    <row r="145" customFormat="false" ht="18" hidden="false" customHeight="true" outlineLevel="0" collapsed="false">
      <c r="A145" s="70" t="n">
        <v>140</v>
      </c>
      <c r="B145" s="71"/>
      <c r="C145" s="71"/>
      <c r="D145" s="71"/>
      <c r="E145" s="71"/>
      <c r="F145" s="71" t="str">
        <f aca="false">IF(D145="","",E145+1)</f>
        <v/>
      </c>
      <c r="G145" s="71"/>
      <c r="H145" s="71"/>
      <c r="I145" s="71"/>
      <c r="J145" s="71"/>
    </row>
    <row r="146" customFormat="false" ht="18" hidden="false" customHeight="true" outlineLevel="0" collapsed="false">
      <c r="A146" s="68" t="n">
        <v>141</v>
      </c>
      <c r="B146" s="69"/>
      <c r="C146" s="69"/>
      <c r="D146" s="69"/>
      <c r="E146" s="69"/>
      <c r="F146" s="69" t="str">
        <f aca="false">IF(D146="","",E146+1)</f>
        <v/>
      </c>
      <c r="G146" s="69"/>
      <c r="H146" s="69"/>
      <c r="I146" s="69"/>
      <c r="J146" s="69"/>
    </row>
    <row r="147" customFormat="false" ht="18" hidden="false" customHeight="true" outlineLevel="0" collapsed="false">
      <c r="A147" s="70" t="n">
        <v>142</v>
      </c>
      <c r="B147" s="71"/>
      <c r="C147" s="71"/>
      <c r="D147" s="71"/>
      <c r="E147" s="71"/>
      <c r="F147" s="71" t="str">
        <f aca="false">IF(D147="","",E147+1)</f>
        <v/>
      </c>
      <c r="G147" s="71"/>
      <c r="H147" s="71"/>
      <c r="I147" s="71"/>
      <c r="J147" s="71"/>
    </row>
    <row r="148" customFormat="false" ht="18" hidden="false" customHeight="true" outlineLevel="0" collapsed="false">
      <c r="A148" s="68" t="n">
        <v>143</v>
      </c>
      <c r="B148" s="69"/>
      <c r="C148" s="69"/>
      <c r="D148" s="69"/>
      <c r="E148" s="69"/>
      <c r="F148" s="69" t="str">
        <f aca="false">IF(D148="","",E148+1)</f>
        <v/>
      </c>
      <c r="G148" s="69"/>
      <c r="H148" s="69"/>
      <c r="I148" s="69"/>
      <c r="J148" s="69"/>
    </row>
    <row r="149" customFormat="false" ht="18" hidden="false" customHeight="true" outlineLevel="0" collapsed="false">
      <c r="A149" s="70" t="n">
        <v>144</v>
      </c>
      <c r="B149" s="71"/>
      <c r="C149" s="71"/>
      <c r="D149" s="71"/>
      <c r="E149" s="71"/>
      <c r="F149" s="71" t="str">
        <f aca="false">IF(D149="","",E149+1)</f>
        <v/>
      </c>
      <c r="G149" s="71"/>
      <c r="H149" s="71"/>
      <c r="I149" s="71"/>
      <c r="J149" s="71"/>
    </row>
    <row r="150" customFormat="false" ht="18" hidden="false" customHeight="true" outlineLevel="0" collapsed="false">
      <c r="A150" s="68" t="n">
        <v>145</v>
      </c>
      <c r="B150" s="69"/>
      <c r="C150" s="69"/>
      <c r="D150" s="69"/>
      <c r="E150" s="69"/>
      <c r="F150" s="69" t="str">
        <f aca="false">IF(D150="","",E150+1)</f>
        <v/>
      </c>
      <c r="G150" s="69"/>
      <c r="H150" s="69"/>
      <c r="I150" s="69"/>
      <c r="J150" s="69"/>
    </row>
    <row r="151" customFormat="false" ht="18" hidden="false" customHeight="true" outlineLevel="0" collapsed="false">
      <c r="A151" s="70" t="n">
        <v>146</v>
      </c>
      <c r="B151" s="71"/>
      <c r="C151" s="71"/>
      <c r="D151" s="71"/>
      <c r="E151" s="71"/>
      <c r="F151" s="71" t="str">
        <f aca="false">IF(D151="","",E151+1)</f>
        <v/>
      </c>
      <c r="G151" s="71"/>
      <c r="H151" s="71"/>
      <c r="I151" s="71"/>
      <c r="J151" s="71"/>
    </row>
    <row r="152" customFormat="false" ht="18" hidden="false" customHeight="true" outlineLevel="0" collapsed="false">
      <c r="A152" s="68" t="n">
        <v>147</v>
      </c>
      <c r="B152" s="69"/>
      <c r="C152" s="69"/>
      <c r="D152" s="69"/>
      <c r="E152" s="69"/>
      <c r="F152" s="69" t="str">
        <f aca="false">IF(D152="","",E152+1)</f>
        <v/>
      </c>
      <c r="G152" s="69"/>
      <c r="H152" s="69"/>
      <c r="I152" s="69"/>
      <c r="J152" s="69"/>
    </row>
    <row r="153" customFormat="false" ht="18" hidden="false" customHeight="true" outlineLevel="0" collapsed="false">
      <c r="A153" s="70" t="n">
        <v>148</v>
      </c>
      <c r="B153" s="71"/>
      <c r="C153" s="71"/>
      <c r="D153" s="71"/>
      <c r="E153" s="71"/>
      <c r="F153" s="71" t="str">
        <f aca="false">IF(D153="","",E153+1)</f>
        <v/>
      </c>
      <c r="G153" s="71"/>
      <c r="H153" s="71"/>
      <c r="I153" s="71"/>
      <c r="J153" s="71"/>
    </row>
    <row r="154" customFormat="false" ht="18" hidden="false" customHeight="true" outlineLevel="0" collapsed="false">
      <c r="A154" s="68" t="n">
        <v>149</v>
      </c>
      <c r="B154" s="69"/>
      <c r="C154" s="69"/>
      <c r="D154" s="69"/>
      <c r="E154" s="69"/>
      <c r="F154" s="69" t="str">
        <f aca="false">IF(D154="","",E154+1)</f>
        <v/>
      </c>
      <c r="G154" s="69"/>
      <c r="H154" s="69"/>
      <c r="I154" s="69"/>
      <c r="J154" s="69"/>
    </row>
    <row r="155" customFormat="false" ht="18" hidden="false" customHeight="true" outlineLevel="0" collapsed="false">
      <c r="A155" s="70" t="n">
        <v>150</v>
      </c>
      <c r="B155" s="71"/>
      <c r="C155" s="71"/>
      <c r="D155" s="71"/>
      <c r="E155" s="71"/>
      <c r="F155" s="71" t="str">
        <f aca="false">IF(D155="","",E155+1)</f>
        <v/>
      </c>
      <c r="G155" s="71"/>
      <c r="H155" s="71"/>
      <c r="I155" s="71"/>
      <c r="J155" s="71"/>
    </row>
    <row r="156" customFormat="false" ht="18" hidden="false" customHeight="true" outlineLevel="0" collapsed="false">
      <c r="A156" s="68" t="n">
        <v>151</v>
      </c>
      <c r="B156" s="69"/>
      <c r="C156" s="69"/>
      <c r="D156" s="69"/>
      <c r="E156" s="69"/>
      <c r="F156" s="69" t="str">
        <f aca="false">IF(D156="","",E156+1)</f>
        <v/>
      </c>
      <c r="G156" s="69"/>
      <c r="H156" s="69"/>
      <c r="I156" s="69"/>
      <c r="J156" s="69"/>
    </row>
    <row r="157" customFormat="false" ht="18" hidden="false" customHeight="true" outlineLevel="0" collapsed="false">
      <c r="A157" s="70" t="n">
        <v>152</v>
      </c>
      <c r="B157" s="71"/>
      <c r="C157" s="71"/>
      <c r="D157" s="71"/>
      <c r="E157" s="71"/>
      <c r="F157" s="71" t="str">
        <f aca="false">IF(D157="","",E157+1)</f>
        <v/>
      </c>
      <c r="G157" s="71"/>
      <c r="H157" s="71"/>
      <c r="I157" s="71"/>
      <c r="J157" s="71"/>
    </row>
    <row r="158" customFormat="false" ht="18" hidden="false" customHeight="true" outlineLevel="0" collapsed="false">
      <c r="A158" s="68" t="n">
        <v>153</v>
      </c>
      <c r="B158" s="69"/>
      <c r="C158" s="69"/>
      <c r="D158" s="69"/>
      <c r="E158" s="69"/>
      <c r="F158" s="69" t="str">
        <f aca="false">IF(D158="","",E158+1)</f>
        <v/>
      </c>
      <c r="G158" s="69"/>
      <c r="H158" s="69"/>
      <c r="I158" s="69"/>
      <c r="J158" s="69"/>
    </row>
    <row r="159" customFormat="false" ht="18" hidden="false" customHeight="true" outlineLevel="0" collapsed="false">
      <c r="A159" s="70" t="n">
        <v>154</v>
      </c>
      <c r="B159" s="71"/>
      <c r="C159" s="71"/>
      <c r="D159" s="71"/>
      <c r="E159" s="71"/>
      <c r="F159" s="71" t="str">
        <f aca="false">IF(D159="","",E159+1)</f>
        <v/>
      </c>
      <c r="G159" s="71"/>
      <c r="H159" s="71"/>
      <c r="I159" s="71"/>
      <c r="J159" s="71"/>
    </row>
    <row r="160" customFormat="false" ht="18" hidden="false" customHeight="true" outlineLevel="0" collapsed="false">
      <c r="A160" s="68" t="n">
        <v>155</v>
      </c>
      <c r="B160" s="69"/>
      <c r="C160" s="69"/>
      <c r="D160" s="69"/>
      <c r="E160" s="69"/>
      <c r="F160" s="69" t="str">
        <f aca="false">IF(D160="","",E160+1)</f>
        <v/>
      </c>
      <c r="G160" s="69"/>
      <c r="H160" s="69"/>
      <c r="I160" s="69"/>
      <c r="J160" s="69"/>
    </row>
    <row r="161" customFormat="false" ht="18" hidden="false" customHeight="true" outlineLevel="0" collapsed="false">
      <c r="A161" s="70" t="n">
        <v>156</v>
      </c>
      <c r="B161" s="71"/>
      <c r="C161" s="71"/>
      <c r="D161" s="71"/>
      <c r="E161" s="71"/>
      <c r="F161" s="71" t="str">
        <f aca="false">IF(D161="","",E161+1)</f>
        <v/>
      </c>
      <c r="G161" s="71"/>
      <c r="H161" s="71"/>
      <c r="I161" s="71"/>
      <c r="J161" s="71"/>
    </row>
    <row r="162" customFormat="false" ht="18" hidden="false" customHeight="true" outlineLevel="0" collapsed="false">
      <c r="A162" s="68" t="n">
        <v>157</v>
      </c>
      <c r="B162" s="69"/>
      <c r="C162" s="69"/>
      <c r="D162" s="69"/>
      <c r="E162" s="69"/>
      <c r="F162" s="69" t="str">
        <f aca="false">IF(D162="","",E162+1)</f>
        <v/>
      </c>
      <c r="G162" s="69"/>
      <c r="H162" s="69"/>
      <c r="I162" s="69"/>
      <c r="J162" s="69"/>
    </row>
    <row r="163" customFormat="false" ht="18" hidden="false" customHeight="true" outlineLevel="0" collapsed="false">
      <c r="A163" s="70" t="n">
        <v>158</v>
      </c>
      <c r="B163" s="71"/>
      <c r="C163" s="71"/>
      <c r="D163" s="71"/>
      <c r="E163" s="71"/>
      <c r="F163" s="71" t="str">
        <f aca="false">IF(D163="","",E163+1)</f>
        <v/>
      </c>
      <c r="G163" s="71"/>
      <c r="H163" s="71"/>
      <c r="I163" s="71"/>
      <c r="J163" s="71"/>
    </row>
    <row r="164" customFormat="false" ht="18" hidden="false" customHeight="true" outlineLevel="0" collapsed="false">
      <c r="A164" s="68" t="n">
        <v>159</v>
      </c>
      <c r="B164" s="69"/>
      <c r="C164" s="69"/>
      <c r="D164" s="69"/>
      <c r="E164" s="69"/>
      <c r="F164" s="69" t="str">
        <f aca="false">IF(D164="","",E164+1)</f>
        <v/>
      </c>
      <c r="G164" s="69"/>
      <c r="H164" s="69"/>
      <c r="I164" s="69"/>
      <c r="J164" s="69"/>
    </row>
    <row r="165" customFormat="false" ht="18" hidden="false" customHeight="true" outlineLevel="0" collapsed="false">
      <c r="A165" s="70" t="n">
        <v>160</v>
      </c>
      <c r="B165" s="71"/>
      <c r="C165" s="71"/>
      <c r="D165" s="71"/>
      <c r="E165" s="71"/>
      <c r="F165" s="71" t="str">
        <f aca="false">IF(D165="","",E165+1)</f>
        <v/>
      </c>
      <c r="G165" s="71"/>
      <c r="H165" s="71"/>
      <c r="I165" s="71"/>
      <c r="J165" s="71"/>
    </row>
    <row r="166" customFormat="false" ht="18" hidden="false" customHeight="true" outlineLevel="0" collapsed="false">
      <c r="A166" s="68" t="n">
        <v>161</v>
      </c>
      <c r="B166" s="69"/>
      <c r="C166" s="69"/>
      <c r="D166" s="69"/>
      <c r="E166" s="69"/>
      <c r="F166" s="69" t="str">
        <f aca="false">IF(D166="","",E166+1)</f>
        <v/>
      </c>
      <c r="G166" s="69"/>
      <c r="H166" s="69"/>
      <c r="I166" s="69"/>
      <c r="J166" s="69"/>
    </row>
    <row r="167" customFormat="false" ht="18" hidden="false" customHeight="true" outlineLevel="0" collapsed="false">
      <c r="A167" s="70" t="n">
        <v>162</v>
      </c>
      <c r="B167" s="71"/>
      <c r="C167" s="71"/>
      <c r="D167" s="71"/>
      <c r="E167" s="71"/>
      <c r="F167" s="71" t="str">
        <f aca="false">IF(D167="","",E167+1)</f>
        <v/>
      </c>
      <c r="G167" s="71"/>
      <c r="H167" s="71"/>
      <c r="I167" s="71"/>
      <c r="J167" s="71"/>
    </row>
    <row r="168" customFormat="false" ht="18" hidden="false" customHeight="true" outlineLevel="0" collapsed="false">
      <c r="A168" s="68" t="n">
        <v>163</v>
      </c>
      <c r="B168" s="69"/>
      <c r="C168" s="69"/>
      <c r="D168" s="69"/>
      <c r="E168" s="69"/>
      <c r="F168" s="69" t="str">
        <f aca="false">IF(D168="","",E168+1)</f>
        <v/>
      </c>
      <c r="G168" s="69"/>
      <c r="H168" s="69"/>
      <c r="I168" s="69"/>
      <c r="J168" s="69"/>
    </row>
    <row r="169" customFormat="false" ht="18" hidden="false" customHeight="true" outlineLevel="0" collapsed="false">
      <c r="A169" s="70" t="n">
        <v>164</v>
      </c>
      <c r="B169" s="71"/>
      <c r="C169" s="71"/>
      <c r="D169" s="71"/>
      <c r="E169" s="71"/>
      <c r="F169" s="71" t="str">
        <f aca="false">IF(D169="","",E169+1)</f>
        <v/>
      </c>
      <c r="G169" s="71"/>
      <c r="H169" s="71"/>
      <c r="I169" s="71"/>
      <c r="J169" s="71"/>
    </row>
    <row r="170" customFormat="false" ht="18" hidden="false" customHeight="true" outlineLevel="0" collapsed="false">
      <c r="A170" s="68" t="n">
        <v>165</v>
      </c>
      <c r="B170" s="69"/>
      <c r="C170" s="69"/>
      <c r="D170" s="69"/>
      <c r="E170" s="69"/>
      <c r="F170" s="69" t="str">
        <f aca="false">IF(D170="","",E170+1)</f>
        <v/>
      </c>
      <c r="G170" s="69"/>
      <c r="H170" s="69"/>
      <c r="I170" s="69"/>
      <c r="J170" s="69"/>
    </row>
    <row r="171" customFormat="false" ht="18" hidden="false" customHeight="true" outlineLevel="0" collapsed="false">
      <c r="A171" s="70" t="n">
        <v>166</v>
      </c>
      <c r="B171" s="71"/>
      <c r="C171" s="71"/>
      <c r="D171" s="71"/>
      <c r="E171" s="71"/>
      <c r="F171" s="71" t="str">
        <f aca="false">IF(D171="","",E171+1)</f>
        <v/>
      </c>
      <c r="G171" s="71"/>
      <c r="H171" s="71"/>
      <c r="I171" s="71"/>
      <c r="J171" s="71"/>
    </row>
    <row r="172" customFormat="false" ht="18" hidden="false" customHeight="true" outlineLevel="0" collapsed="false">
      <c r="A172" s="68" t="n">
        <v>167</v>
      </c>
      <c r="B172" s="69"/>
      <c r="C172" s="69"/>
      <c r="D172" s="69"/>
      <c r="E172" s="69"/>
      <c r="F172" s="69" t="str">
        <f aca="false">IF(D172="","",E172+1)</f>
        <v/>
      </c>
      <c r="G172" s="69"/>
      <c r="H172" s="69"/>
      <c r="I172" s="69"/>
      <c r="J172" s="69"/>
    </row>
    <row r="173" customFormat="false" ht="18" hidden="false" customHeight="true" outlineLevel="0" collapsed="false">
      <c r="A173" s="70" t="n">
        <v>168</v>
      </c>
      <c r="B173" s="71"/>
      <c r="C173" s="71"/>
      <c r="D173" s="71"/>
      <c r="E173" s="71"/>
      <c r="F173" s="71" t="str">
        <f aca="false">IF(D173="","",E173+1)</f>
        <v/>
      </c>
      <c r="G173" s="71"/>
      <c r="H173" s="71"/>
      <c r="I173" s="71"/>
      <c r="J173" s="71"/>
    </row>
    <row r="174" customFormat="false" ht="18" hidden="false" customHeight="true" outlineLevel="0" collapsed="false">
      <c r="A174" s="68" t="n">
        <v>169</v>
      </c>
      <c r="B174" s="69"/>
      <c r="C174" s="69"/>
      <c r="D174" s="69"/>
      <c r="E174" s="69"/>
      <c r="F174" s="69" t="str">
        <f aca="false">IF(D174="","",E174+1)</f>
        <v/>
      </c>
      <c r="G174" s="69"/>
      <c r="H174" s="69"/>
      <c r="I174" s="69"/>
      <c r="J174" s="69"/>
    </row>
    <row r="175" customFormat="false" ht="18" hidden="false" customHeight="true" outlineLevel="0" collapsed="false">
      <c r="A175" s="70" t="n">
        <v>170</v>
      </c>
      <c r="B175" s="71"/>
      <c r="C175" s="71"/>
      <c r="D175" s="71"/>
      <c r="E175" s="71"/>
      <c r="F175" s="71" t="str">
        <f aca="false">IF(D175="","",E175+1)</f>
        <v/>
      </c>
      <c r="G175" s="71"/>
      <c r="H175" s="71"/>
      <c r="I175" s="71"/>
      <c r="J175" s="71"/>
    </row>
    <row r="176" customFormat="false" ht="18" hidden="false" customHeight="true" outlineLevel="0" collapsed="false">
      <c r="A176" s="68" t="n">
        <v>171</v>
      </c>
      <c r="B176" s="69"/>
      <c r="C176" s="69"/>
      <c r="D176" s="69"/>
      <c r="E176" s="69"/>
      <c r="F176" s="69" t="str">
        <f aca="false">IF(D176="","",E176+1)</f>
        <v/>
      </c>
      <c r="G176" s="69"/>
      <c r="H176" s="69"/>
      <c r="I176" s="69"/>
      <c r="J176" s="69"/>
    </row>
    <row r="177" customFormat="false" ht="18" hidden="false" customHeight="true" outlineLevel="0" collapsed="false">
      <c r="A177" s="70" t="n">
        <v>172</v>
      </c>
      <c r="B177" s="71"/>
      <c r="C177" s="71"/>
      <c r="D177" s="71"/>
      <c r="E177" s="71"/>
      <c r="F177" s="71" t="str">
        <f aca="false">IF(D177="","",E177+1)</f>
        <v/>
      </c>
      <c r="G177" s="71"/>
      <c r="H177" s="71"/>
      <c r="I177" s="71"/>
      <c r="J177" s="71"/>
    </row>
    <row r="178" customFormat="false" ht="18" hidden="false" customHeight="true" outlineLevel="0" collapsed="false">
      <c r="A178" s="68" t="n">
        <v>173</v>
      </c>
      <c r="B178" s="69"/>
      <c r="C178" s="69"/>
      <c r="D178" s="69"/>
      <c r="E178" s="69"/>
      <c r="F178" s="69" t="str">
        <f aca="false">IF(D178="","",E178+1)</f>
        <v/>
      </c>
      <c r="G178" s="69"/>
      <c r="H178" s="69"/>
      <c r="I178" s="69"/>
      <c r="J178" s="69"/>
    </row>
    <row r="179" customFormat="false" ht="18" hidden="false" customHeight="true" outlineLevel="0" collapsed="false">
      <c r="A179" s="70" t="n">
        <v>174</v>
      </c>
      <c r="B179" s="71"/>
      <c r="C179" s="71"/>
      <c r="D179" s="71"/>
      <c r="E179" s="71"/>
      <c r="F179" s="71" t="str">
        <f aca="false">IF(D179="","",E179+1)</f>
        <v/>
      </c>
      <c r="G179" s="71"/>
      <c r="H179" s="71"/>
      <c r="I179" s="71"/>
      <c r="J179" s="71"/>
    </row>
    <row r="180" customFormat="false" ht="18" hidden="false" customHeight="true" outlineLevel="0" collapsed="false">
      <c r="A180" s="68" t="n">
        <v>175</v>
      </c>
      <c r="B180" s="69"/>
      <c r="C180" s="69"/>
      <c r="D180" s="69"/>
      <c r="E180" s="69"/>
      <c r="F180" s="69" t="str">
        <f aca="false">IF(D180="","",E180+1)</f>
        <v/>
      </c>
      <c r="G180" s="69"/>
      <c r="H180" s="69"/>
      <c r="I180" s="69"/>
      <c r="J180" s="69"/>
    </row>
    <row r="181" customFormat="false" ht="18" hidden="false" customHeight="true" outlineLevel="0" collapsed="false">
      <c r="A181" s="70" t="n">
        <v>176</v>
      </c>
      <c r="B181" s="71"/>
      <c r="C181" s="71"/>
      <c r="D181" s="71"/>
      <c r="E181" s="71"/>
      <c r="F181" s="71" t="str">
        <f aca="false">IF(D181="","",E181+1)</f>
        <v/>
      </c>
      <c r="G181" s="71"/>
      <c r="H181" s="71"/>
      <c r="I181" s="71"/>
      <c r="J181" s="71"/>
    </row>
    <row r="182" customFormat="false" ht="18" hidden="false" customHeight="true" outlineLevel="0" collapsed="false">
      <c r="A182" s="68" t="n">
        <v>177</v>
      </c>
      <c r="B182" s="69"/>
      <c r="C182" s="69"/>
      <c r="D182" s="69"/>
      <c r="E182" s="69"/>
      <c r="F182" s="69" t="str">
        <f aca="false">IF(D182="","",E182+1)</f>
        <v/>
      </c>
      <c r="G182" s="69"/>
      <c r="H182" s="69"/>
      <c r="I182" s="69"/>
      <c r="J182" s="69"/>
    </row>
    <row r="183" customFormat="false" ht="18" hidden="false" customHeight="true" outlineLevel="0" collapsed="false">
      <c r="A183" s="70" t="n">
        <v>178</v>
      </c>
      <c r="B183" s="71"/>
      <c r="C183" s="71"/>
      <c r="D183" s="71"/>
      <c r="E183" s="71"/>
      <c r="F183" s="71" t="str">
        <f aca="false">IF(D183="","",E183+1)</f>
        <v/>
      </c>
      <c r="G183" s="71"/>
      <c r="H183" s="71"/>
      <c r="I183" s="71"/>
      <c r="J183" s="71"/>
    </row>
    <row r="184" customFormat="false" ht="18" hidden="false" customHeight="true" outlineLevel="0" collapsed="false">
      <c r="A184" s="68" t="n">
        <v>179</v>
      </c>
      <c r="B184" s="69"/>
      <c r="C184" s="69"/>
      <c r="D184" s="69"/>
      <c r="E184" s="69"/>
      <c r="F184" s="69" t="str">
        <f aca="false">IF(D184="","",E184+1)</f>
        <v/>
      </c>
      <c r="G184" s="69"/>
      <c r="H184" s="69"/>
      <c r="I184" s="69"/>
      <c r="J184" s="69"/>
    </row>
    <row r="185" customFormat="false" ht="18" hidden="false" customHeight="true" outlineLevel="0" collapsed="false">
      <c r="A185" s="70" t="n">
        <v>180</v>
      </c>
      <c r="B185" s="71"/>
      <c r="C185" s="71"/>
      <c r="D185" s="71"/>
      <c r="E185" s="71"/>
      <c r="F185" s="71" t="str">
        <f aca="false">IF(D185="","",E185+1)</f>
        <v/>
      </c>
      <c r="G185" s="71"/>
      <c r="H185" s="71"/>
      <c r="I185" s="71"/>
      <c r="J185" s="71"/>
    </row>
    <row r="186" customFormat="false" ht="18" hidden="false" customHeight="true" outlineLevel="0" collapsed="false">
      <c r="A186" s="68" t="n">
        <v>181</v>
      </c>
      <c r="B186" s="69"/>
      <c r="C186" s="69"/>
      <c r="D186" s="69"/>
      <c r="E186" s="69"/>
      <c r="F186" s="69" t="str">
        <f aca="false">IF(D186="","",E186+1)</f>
        <v/>
      </c>
      <c r="G186" s="69"/>
      <c r="H186" s="69"/>
      <c r="I186" s="69"/>
      <c r="J186" s="69"/>
    </row>
    <row r="187" customFormat="false" ht="18" hidden="false" customHeight="true" outlineLevel="0" collapsed="false">
      <c r="A187" s="70" t="n">
        <v>182</v>
      </c>
      <c r="B187" s="71"/>
      <c r="C187" s="71"/>
      <c r="D187" s="71"/>
      <c r="E187" s="71"/>
      <c r="F187" s="71" t="str">
        <f aca="false">IF(D187="","",E187+1)</f>
        <v/>
      </c>
      <c r="G187" s="71"/>
      <c r="H187" s="71"/>
      <c r="I187" s="71"/>
      <c r="J187" s="71"/>
    </row>
    <row r="188" customFormat="false" ht="18" hidden="false" customHeight="true" outlineLevel="0" collapsed="false">
      <c r="A188" s="68" t="n">
        <v>183</v>
      </c>
      <c r="B188" s="69"/>
      <c r="C188" s="69"/>
      <c r="D188" s="69"/>
      <c r="E188" s="69"/>
      <c r="F188" s="69" t="str">
        <f aca="false">IF(D188="","",E188+1)</f>
        <v/>
      </c>
      <c r="G188" s="69"/>
      <c r="H188" s="69"/>
      <c r="I188" s="69"/>
      <c r="J188" s="69"/>
    </row>
    <row r="189" customFormat="false" ht="18" hidden="false" customHeight="true" outlineLevel="0" collapsed="false">
      <c r="A189" s="70" t="n">
        <v>184</v>
      </c>
      <c r="B189" s="71"/>
      <c r="C189" s="71"/>
      <c r="D189" s="71"/>
      <c r="E189" s="71"/>
      <c r="F189" s="71" t="str">
        <f aca="false">IF(D189="","",E189+1)</f>
        <v/>
      </c>
      <c r="G189" s="71"/>
      <c r="H189" s="71"/>
      <c r="I189" s="71"/>
      <c r="J189" s="71"/>
    </row>
    <row r="190" customFormat="false" ht="18" hidden="false" customHeight="true" outlineLevel="0" collapsed="false">
      <c r="A190" s="68" t="n">
        <v>185</v>
      </c>
      <c r="B190" s="69"/>
      <c r="C190" s="69"/>
      <c r="D190" s="69"/>
      <c r="E190" s="69"/>
      <c r="F190" s="69" t="str">
        <f aca="false">IF(D190="","",E190+1)</f>
        <v/>
      </c>
      <c r="G190" s="69"/>
      <c r="H190" s="69"/>
      <c r="I190" s="69"/>
      <c r="J190" s="69"/>
    </row>
    <row r="191" customFormat="false" ht="18" hidden="false" customHeight="true" outlineLevel="0" collapsed="false">
      <c r="A191" s="70" t="n">
        <v>186</v>
      </c>
      <c r="B191" s="71"/>
      <c r="C191" s="71"/>
      <c r="D191" s="71"/>
      <c r="E191" s="71"/>
      <c r="F191" s="71" t="str">
        <f aca="false">IF(D191="","",E191+1)</f>
        <v/>
      </c>
      <c r="G191" s="71"/>
      <c r="H191" s="71"/>
      <c r="I191" s="71"/>
      <c r="J191" s="71"/>
    </row>
    <row r="192" customFormat="false" ht="18" hidden="false" customHeight="true" outlineLevel="0" collapsed="false">
      <c r="A192" s="68" t="n">
        <v>187</v>
      </c>
      <c r="B192" s="69"/>
      <c r="C192" s="69"/>
      <c r="D192" s="69"/>
      <c r="E192" s="69"/>
      <c r="F192" s="69" t="str">
        <f aca="false">IF(D192="","",E192+1)</f>
        <v/>
      </c>
      <c r="G192" s="69"/>
      <c r="H192" s="69"/>
      <c r="I192" s="69"/>
      <c r="J192" s="69"/>
    </row>
    <row r="193" customFormat="false" ht="18" hidden="false" customHeight="true" outlineLevel="0" collapsed="false">
      <c r="A193" s="70" t="n">
        <v>188</v>
      </c>
      <c r="B193" s="71"/>
      <c r="C193" s="71"/>
      <c r="D193" s="71"/>
      <c r="E193" s="71"/>
      <c r="F193" s="71" t="str">
        <f aca="false">IF(D193="","",E193+1)</f>
        <v/>
      </c>
      <c r="G193" s="71"/>
      <c r="H193" s="71"/>
      <c r="I193" s="71"/>
      <c r="J193" s="71"/>
    </row>
    <row r="194" customFormat="false" ht="18" hidden="false" customHeight="true" outlineLevel="0" collapsed="false">
      <c r="A194" s="68" t="n">
        <v>189</v>
      </c>
      <c r="B194" s="69"/>
      <c r="C194" s="69"/>
      <c r="D194" s="69"/>
      <c r="E194" s="69"/>
      <c r="F194" s="69" t="str">
        <f aca="false">IF(D194="","",E194+1)</f>
        <v/>
      </c>
      <c r="G194" s="69"/>
      <c r="H194" s="69"/>
      <c r="I194" s="69"/>
      <c r="J194" s="69"/>
    </row>
    <row r="195" customFormat="false" ht="18" hidden="false" customHeight="true" outlineLevel="0" collapsed="false">
      <c r="A195" s="70" t="n">
        <v>190</v>
      </c>
      <c r="B195" s="71"/>
      <c r="C195" s="71"/>
      <c r="D195" s="71"/>
      <c r="E195" s="71"/>
      <c r="F195" s="71" t="str">
        <f aca="false">IF(D195="","",E195+1)</f>
        <v/>
      </c>
      <c r="G195" s="71"/>
      <c r="H195" s="71"/>
      <c r="I195" s="71"/>
      <c r="J195" s="71"/>
    </row>
    <row r="196" customFormat="false" ht="18" hidden="false" customHeight="true" outlineLevel="0" collapsed="false">
      <c r="A196" s="68" t="n">
        <v>191</v>
      </c>
      <c r="B196" s="69"/>
      <c r="C196" s="69"/>
      <c r="D196" s="69"/>
      <c r="E196" s="69"/>
      <c r="F196" s="69" t="str">
        <f aca="false">IF(D196="","",E196+1)</f>
        <v/>
      </c>
      <c r="G196" s="69"/>
      <c r="H196" s="69"/>
      <c r="I196" s="69"/>
      <c r="J196" s="69"/>
    </row>
    <row r="197" customFormat="false" ht="18" hidden="false" customHeight="true" outlineLevel="0" collapsed="false">
      <c r="A197" s="70" t="n">
        <v>192</v>
      </c>
      <c r="B197" s="71"/>
      <c r="C197" s="71"/>
      <c r="D197" s="71"/>
      <c r="E197" s="71"/>
      <c r="F197" s="71" t="str">
        <f aca="false">IF(D197="","",E197+1)</f>
        <v/>
      </c>
      <c r="G197" s="71"/>
      <c r="H197" s="71"/>
      <c r="I197" s="71"/>
      <c r="J197" s="71"/>
    </row>
    <row r="198" customFormat="false" ht="18" hidden="false" customHeight="true" outlineLevel="0" collapsed="false">
      <c r="A198" s="68" t="n">
        <v>193</v>
      </c>
      <c r="B198" s="69"/>
      <c r="C198" s="69"/>
      <c r="D198" s="69"/>
      <c r="E198" s="69"/>
      <c r="F198" s="69" t="str">
        <f aca="false">IF(D198="","",E198+1)</f>
        <v/>
      </c>
      <c r="G198" s="69"/>
      <c r="H198" s="69"/>
      <c r="I198" s="69"/>
      <c r="J198" s="69"/>
    </row>
    <row r="199" customFormat="false" ht="18" hidden="false" customHeight="true" outlineLevel="0" collapsed="false">
      <c r="A199" s="70" t="n">
        <v>194</v>
      </c>
      <c r="B199" s="71"/>
      <c r="C199" s="71"/>
      <c r="D199" s="71"/>
      <c r="E199" s="71"/>
      <c r="F199" s="71" t="str">
        <f aca="false">IF(D199="","",E199+1)</f>
        <v/>
      </c>
      <c r="G199" s="71"/>
      <c r="H199" s="71"/>
      <c r="I199" s="71"/>
      <c r="J199" s="71"/>
    </row>
    <row r="200" customFormat="false" ht="18" hidden="false" customHeight="true" outlineLevel="0" collapsed="false">
      <c r="A200" s="68" t="n">
        <v>195</v>
      </c>
      <c r="B200" s="69"/>
      <c r="C200" s="69"/>
      <c r="D200" s="69"/>
      <c r="E200" s="69"/>
      <c r="F200" s="69" t="str">
        <f aca="false">IF(D200="","",E200+1)</f>
        <v/>
      </c>
      <c r="G200" s="69"/>
      <c r="H200" s="69"/>
      <c r="I200" s="69"/>
      <c r="J200" s="69"/>
    </row>
    <row r="201" customFormat="false" ht="18" hidden="false" customHeight="true" outlineLevel="0" collapsed="false">
      <c r="A201" s="70" t="n">
        <v>196</v>
      </c>
      <c r="B201" s="71"/>
      <c r="C201" s="71"/>
      <c r="D201" s="71"/>
      <c r="E201" s="71"/>
      <c r="F201" s="71" t="str">
        <f aca="false">IF(D201="","",E201+1)</f>
        <v/>
      </c>
      <c r="G201" s="71"/>
      <c r="H201" s="71"/>
      <c r="I201" s="71"/>
      <c r="J201" s="71"/>
    </row>
    <row r="202" customFormat="false" ht="18" hidden="false" customHeight="true" outlineLevel="0" collapsed="false">
      <c r="A202" s="68" t="n">
        <v>197</v>
      </c>
      <c r="B202" s="69"/>
      <c r="C202" s="69"/>
      <c r="D202" s="69"/>
      <c r="E202" s="69"/>
      <c r="F202" s="69" t="str">
        <f aca="false">IF(D202="","",E202+1)</f>
        <v/>
      </c>
      <c r="G202" s="69"/>
      <c r="H202" s="69"/>
      <c r="I202" s="69"/>
      <c r="J202" s="69"/>
    </row>
    <row r="203" customFormat="false" ht="18" hidden="false" customHeight="true" outlineLevel="0" collapsed="false">
      <c r="A203" s="70" t="n">
        <v>198</v>
      </c>
      <c r="B203" s="71"/>
      <c r="C203" s="71"/>
      <c r="D203" s="71"/>
      <c r="E203" s="71"/>
      <c r="F203" s="71" t="str">
        <f aca="false">IF(D203="","",E203+1)</f>
        <v/>
      </c>
      <c r="G203" s="71"/>
      <c r="H203" s="71"/>
      <c r="I203" s="71"/>
      <c r="J203" s="71"/>
    </row>
    <row r="204" customFormat="false" ht="18" hidden="false" customHeight="true" outlineLevel="0" collapsed="false">
      <c r="A204" s="68" t="n">
        <v>199</v>
      </c>
      <c r="B204" s="69"/>
      <c r="C204" s="69"/>
      <c r="D204" s="69"/>
      <c r="E204" s="69"/>
      <c r="F204" s="69" t="str">
        <f aca="false">IF(D204="","",E204+1)</f>
        <v/>
      </c>
      <c r="G204" s="69"/>
      <c r="H204" s="69"/>
      <c r="I204" s="69"/>
      <c r="J204" s="69"/>
    </row>
    <row r="205" customFormat="false" ht="18" hidden="false" customHeight="true" outlineLevel="0" collapsed="false">
      <c r="A205" s="70" t="n">
        <v>200</v>
      </c>
      <c r="B205" s="71"/>
      <c r="C205" s="71"/>
      <c r="D205" s="71"/>
      <c r="E205" s="71"/>
      <c r="F205" s="71" t="str">
        <f aca="false">IF(D205="","",E205+1)</f>
        <v/>
      </c>
      <c r="G205" s="71"/>
      <c r="H205" s="71"/>
      <c r="I205" s="71"/>
      <c r="J205" s="71"/>
    </row>
  </sheetData>
  <mergeCells count="2">
    <mergeCell ref="A1:J1"/>
    <mergeCell ref="A2:J2"/>
  </mergeCells>
  <dataValidations count="1">
    <dataValidation allowBlank="true" errorStyle="stop" operator="between" showDropDown="false" showErrorMessage="false" showInputMessage="false" sqref="D6:D205" type="list">
      <formula1>"Sí,No,Pendiente"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J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8"/>
    <col collapsed="false" customWidth="true" hidden="false" outlineLevel="0" max="3" min="3" style="1" width="20"/>
    <col collapsed="false" customWidth="true" hidden="false" outlineLevel="0" max="4" min="4" style="1" width="14"/>
    <col collapsed="false" customWidth="true" hidden="false" outlineLevel="0" max="5" min="5" style="1" width="10"/>
    <col collapsed="false" customWidth="true" hidden="false" outlineLevel="0" max="6" min="6" style="1" width="16"/>
    <col collapsed="false" customWidth="true" hidden="false" outlineLevel="0" max="7" min="7" style="1" width="28"/>
  </cols>
  <sheetData>
    <row r="1" customFormat="false" ht="30" hidden="false" customHeight="true" outlineLevel="0" collapsed="false">
      <c r="A1" s="72" t="s">
        <v>373</v>
      </c>
      <c r="B1" s="72"/>
      <c r="C1" s="72"/>
      <c r="D1" s="72"/>
      <c r="E1" s="72"/>
      <c r="F1" s="72"/>
      <c r="G1" s="72"/>
      <c r="H1" s="72"/>
      <c r="I1" s="72"/>
      <c r="J1" s="72"/>
    </row>
    <row r="2" customFormat="false" ht="18" hidden="false" customHeight="true" outlineLevel="0" collapsed="false">
      <c r="A2" s="31" t="s">
        <v>374</v>
      </c>
      <c r="B2" s="31"/>
      <c r="C2" s="31"/>
      <c r="D2" s="31"/>
      <c r="E2" s="31"/>
      <c r="F2" s="31"/>
      <c r="G2" s="31"/>
      <c r="H2" s="31"/>
      <c r="I2" s="31"/>
      <c r="J2" s="31"/>
    </row>
    <row r="3" customFormat="false" ht="17.25" hidden="false" customHeight="true" outlineLevel="0" collapsed="false">
      <c r="A3" s="73" t="s">
        <v>375</v>
      </c>
      <c r="B3" s="73"/>
      <c r="C3" s="73"/>
      <c r="D3" s="73"/>
      <c r="E3" s="74" t="str">
        <f aca="false">COUNTIF(E5:E200,"✓")&amp;" de "&amp;COUNTA(A5:A200)&amp;" tareas completadas"</f>
        <v>6 de 48 tareas completadas</v>
      </c>
      <c r="F3" s="74"/>
      <c r="G3" s="75" t="n">
        <f aca="false">IFERROR(COUNTIF(E5:E200,"✓")/COUNTA(A5:A200),0)</f>
        <v>0.125</v>
      </c>
      <c r="H3" s="75"/>
    </row>
    <row r="4" customFormat="false" ht="15" hidden="false" customHeight="true" outlineLevel="0" collapsed="false">
      <c r="A4" s="76" t="s">
        <v>29</v>
      </c>
      <c r="B4" s="76" t="s">
        <v>376</v>
      </c>
      <c r="C4" s="76" t="s">
        <v>377</v>
      </c>
      <c r="D4" s="76" t="s">
        <v>378</v>
      </c>
      <c r="E4" s="76" t="s">
        <v>37</v>
      </c>
      <c r="F4" s="76" t="s">
        <v>379</v>
      </c>
      <c r="G4" s="76" t="s">
        <v>38</v>
      </c>
    </row>
    <row r="5" customFormat="false" ht="24" hidden="false" customHeight="true" outlineLevel="0" collapsed="false">
      <c r="A5" s="77" t="s">
        <v>380</v>
      </c>
      <c r="B5" s="77"/>
      <c r="C5" s="77"/>
      <c r="D5" s="77"/>
      <c r="E5" s="77"/>
      <c r="F5" s="77"/>
      <c r="G5" s="77"/>
    </row>
    <row r="6" customFormat="false" ht="18" hidden="false" customHeight="true" outlineLevel="0" collapsed="false">
      <c r="A6" s="78" t="n">
        <v>1</v>
      </c>
      <c r="B6" s="79" t="s">
        <v>381</v>
      </c>
      <c r="C6" s="80" t="s">
        <v>382</v>
      </c>
      <c r="D6" s="78" t="s">
        <v>383</v>
      </c>
      <c r="E6" s="78" t="s">
        <v>384</v>
      </c>
      <c r="F6" s="78" t="str">
        <f aca="false">IF(E6="✓","✅ Completado","⏳ Pendiente")</f>
        <v>✅ Completado</v>
      </c>
      <c r="G6" s="80"/>
    </row>
    <row r="7" customFormat="false" ht="18" hidden="false" customHeight="true" outlineLevel="0" collapsed="false">
      <c r="A7" s="78" t="n">
        <v>2</v>
      </c>
      <c r="B7" s="79" t="s">
        <v>385</v>
      </c>
      <c r="C7" s="80" t="s">
        <v>386</v>
      </c>
      <c r="D7" s="78" t="s">
        <v>383</v>
      </c>
      <c r="E7" s="78" t="s">
        <v>384</v>
      </c>
      <c r="F7" s="78" t="str">
        <f aca="false">IF(E7="✓","✅ Completado","⏳ Pendiente")</f>
        <v>✅ Completado</v>
      </c>
      <c r="G7" s="80"/>
    </row>
    <row r="8" customFormat="false" ht="18" hidden="false" customHeight="true" outlineLevel="0" collapsed="false">
      <c r="A8" s="78" t="n">
        <v>3</v>
      </c>
      <c r="B8" s="79" t="s">
        <v>387</v>
      </c>
      <c r="C8" s="80" t="s">
        <v>388</v>
      </c>
      <c r="D8" s="78" t="s">
        <v>389</v>
      </c>
      <c r="E8" s="78" t="s">
        <v>384</v>
      </c>
      <c r="F8" s="78" t="str">
        <f aca="false">IF(E8="✓","✅ Completado","⏳ Pendiente")</f>
        <v>✅ Completado</v>
      </c>
      <c r="G8" s="80"/>
    </row>
    <row r="9" customFormat="false" ht="18" hidden="false" customHeight="true" outlineLevel="0" collapsed="false">
      <c r="A9" s="78" t="n">
        <v>4</v>
      </c>
      <c r="B9" s="79" t="s">
        <v>390</v>
      </c>
      <c r="C9" s="80" t="s">
        <v>391</v>
      </c>
      <c r="D9" s="78" t="s">
        <v>392</v>
      </c>
      <c r="E9" s="78" t="s">
        <v>384</v>
      </c>
      <c r="F9" s="78" t="str">
        <f aca="false">IF(E9="✓","✅ Completado","⏳ Pendiente")</f>
        <v>✅ Completado</v>
      </c>
      <c r="G9" s="80"/>
    </row>
    <row r="10" customFormat="false" ht="18" hidden="false" customHeight="true" outlineLevel="0" collapsed="false">
      <c r="A10" s="78" t="n">
        <v>5</v>
      </c>
      <c r="B10" s="79" t="s">
        <v>393</v>
      </c>
      <c r="C10" s="80" t="s">
        <v>388</v>
      </c>
      <c r="D10" s="78" t="s">
        <v>389</v>
      </c>
      <c r="E10" s="78" t="s">
        <v>384</v>
      </c>
      <c r="F10" s="78" t="str">
        <f aca="false">IF(E10="✓","✅ Completado","⏳ Pendiente")</f>
        <v>✅ Completado</v>
      </c>
      <c r="G10" s="80"/>
    </row>
    <row r="11" customFormat="false" ht="18" hidden="false" customHeight="true" outlineLevel="0" collapsed="false">
      <c r="A11" s="78" t="n">
        <v>6</v>
      </c>
      <c r="B11" s="79" t="s">
        <v>394</v>
      </c>
      <c r="C11" s="80" t="s">
        <v>395</v>
      </c>
      <c r="D11" s="78" t="s">
        <v>392</v>
      </c>
      <c r="E11" s="78" t="s">
        <v>384</v>
      </c>
      <c r="F11" s="78" t="str">
        <f aca="false">IF(E11="✓","✅ Completado","⏳ Pendiente")</f>
        <v>✅ Completado</v>
      </c>
      <c r="G11" s="80"/>
    </row>
    <row r="12" customFormat="false" ht="18" hidden="false" customHeight="true" outlineLevel="0" collapsed="false">
      <c r="A12" s="48" t="n">
        <v>7</v>
      </c>
      <c r="B12" s="34" t="s">
        <v>396</v>
      </c>
      <c r="C12" s="34" t="s">
        <v>397</v>
      </c>
      <c r="D12" s="48" t="s">
        <v>398</v>
      </c>
      <c r="E12" s="48"/>
      <c r="F12" s="48" t="str">
        <f aca="false">IF(E12="✓","✅ Completado","⏳ Pendiente")</f>
        <v>⏳ Pendiente</v>
      </c>
      <c r="G12" s="34"/>
    </row>
    <row r="13" customFormat="false" ht="18" hidden="false" customHeight="true" outlineLevel="0" collapsed="false">
      <c r="A13" s="50" t="n">
        <v>8</v>
      </c>
      <c r="B13" s="38" t="s">
        <v>399</v>
      </c>
      <c r="C13" s="38" t="s">
        <v>397</v>
      </c>
      <c r="D13" s="50" t="s">
        <v>398</v>
      </c>
      <c r="E13" s="50"/>
      <c r="F13" s="50" t="str">
        <f aca="false">IF(E13="✓","✅ Completado","⏳ Pendiente")</f>
        <v>⏳ Pendiente</v>
      </c>
      <c r="G13" s="38"/>
    </row>
    <row r="14" customFormat="false" ht="18" hidden="false" customHeight="true" outlineLevel="0" collapsed="false">
      <c r="A14" s="48" t="n">
        <v>9</v>
      </c>
      <c r="B14" s="34" t="s">
        <v>400</v>
      </c>
      <c r="C14" s="34" t="s">
        <v>386</v>
      </c>
      <c r="D14" s="48" t="s">
        <v>401</v>
      </c>
      <c r="E14" s="48"/>
      <c r="F14" s="48" t="str">
        <f aca="false">IF(E14="✓","✅ Completado","⏳ Pendiente")</f>
        <v>⏳ Pendiente</v>
      </c>
      <c r="G14" s="34"/>
    </row>
    <row r="15" customFormat="false" ht="18" hidden="false" customHeight="true" outlineLevel="0" collapsed="false">
      <c r="A15" s="50" t="n">
        <v>10</v>
      </c>
      <c r="B15" s="38" t="s">
        <v>402</v>
      </c>
      <c r="C15" s="38" t="s">
        <v>388</v>
      </c>
      <c r="D15" s="50" t="s">
        <v>401</v>
      </c>
      <c r="E15" s="50"/>
      <c r="F15" s="50" t="str">
        <f aca="false">IF(E15="✓","✅ Completado","⏳ Pendiente")</f>
        <v>⏳ Pendiente</v>
      </c>
      <c r="G15" s="38"/>
    </row>
    <row r="16" customFormat="false" ht="24" hidden="false" customHeight="true" outlineLevel="0" collapsed="false">
      <c r="A16" s="77" t="s">
        <v>403</v>
      </c>
      <c r="B16" s="77"/>
      <c r="C16" s="77"/>
      <c r="D16" s="77"/>
      <c r="E16" s="77"/>
      <c r="F16" s="77"/>
      <c r="G16" s="77"/>
    </row>
    <row r="17" customFormat="false" ht="18" hidden="false" customHeight="true" outlineLevel="0" collapsed="false">
      <c r="A17" s="48" t="n">
        <v>11</v>
      </c>
      <c r="B17" s="34" t="s">
        <v>404</v>
      </c>
      <c r="C17" s="34" t="s">
        <v>405</v>
      </c>
      <c r="D17" s="48" t="s">
        <v>406</v>
      </c>
      <c r="E17" s="48"/>
      <c r="F17" s="48" t="str">
        <f aca="false">IF(E17="✓","✅ Completado","⏳ Pendiente")</f>
        <v>⏳ Pendiente</v>
      </c>
      <c r="G17" s="34"/>
    </row>
    <row r="18" customFormat="false" ht="18" hidden="false" customHeight="true" outlineLevel="0" collapsed="false">
      <c r="A18" s="50" t="n">
        <v>12</v>
      </c>
      <c r="B18" s="38" t="s">
        <v>407</v>
      </c>
      <c r="C18" s="38" t="s">
        <v>397</v>
      </c>
      <c r="D18" s="50" t="s">
        <v>406</v>
      </c>
      <c r="E18" s="50"/>
      <c r="F18" s="50" t="str">
        <f aca="false">IF(E18="✓","✅ Completado","⏳ Pendiente")</f>
        <v>⏳ Pendiente</v>
      </c>
      <c r="G18" s="38"/>
    </row>
    <row r="19" customFormat="false" ht="18" hidden="false" customHeight="true" outlineLevel="0" collapsed="false">
      <c r="A19" s="48" t="n">
        <v>13</v>
      </c>
      <c r="B19" s="34" t="s">
        <v>408</v>
      </c>
      <c r="C19" s="34" t="s">
        <v>409</v>
      </c>
      <c r="D19" s="48" t="s">
        <v>410</v>
      </c>
      <c r="E19" s="48"/>
      <c r="F19" s="48" t="str">
        <f aca="false">IF(E19="✓","✅ Completado","⏳ Pendiente")</f>
        <v>⏳ Pendiente</v>
      </c>
      <c r="G19" s="34"/>
    </row>
    <row r="20" customFormat="false" ht="18" hidden="false" customHeight="true" outlineLevel="0" collapsed="false">
      <c r="A20" s="50" t="n">
        <v>14</v>
      </c>
      <c r="B20" s="38" t="s">
        <v>411</v>
      </c>
      <c r="C20" s="38" t="s">
        <v>397</v>
      </c>
      <c r="D20" s="50" t="s">
        <v>410</v>
      </c>
      <c r="E20" s="50"/>
      <c r="F20" s="50" t="str">
        <f aca="false">IF(E20="✓","✅ Completado","⏳ Pendiente")</f>
        <v>⏳ Pendiente</v>
      </c>
      <c r="G20" s="38"/>
    </row>
    <row r="21" customFormat="false" ht="18" hidden="false" customHeight="true" outlineLevel="0" collapsed="false">
      <c r="A21" s="48" t="n">
        <v>15</v>
      </c>
      <c r="B21" s="34" t="s">
        <v>412</v>
      </c>
      <c r="C21" s="34" t="s">
        <v>413</v>
      </c>
      <c r="D21" s="48" t="s">
        <v>410</v>
      </c>
      <c r="E21" s="48"/>
      <c r="F21" s="48" t="str">
        <f aca="false">IF(E21="✓","✅ Completado","⏳ Pendiente")</f>
        <v>⏳ Pendiente</v>
      </c>
      <c r="G21" s="34"/>
    </row>
    <row r="22" customFormat="false" ht="18" hidden="false" customHeight="true" outlineLevel="0" collapsed="false">
      <c r="A22" s="50" t="n">
        <v>16</v>
      </c>
      <c r="B22" s="38" t="s">
        <v>414</v>
      </c>
      <c r="C22" s="38" t="s">
        <v>388</v>
      </c>
      <c r="D22" s="50" t="s">
        <v>410</v>
      </c>
      <c r="E22" s="50"/>
      <c r="F22" s="50" t="str">
        <f aca="false">IF(E22="✓","✅ Completado","⏳ Pendiente")</f>
        <v>⏳ Pendiente</v>
      </c>
      <c r="G22" s="38"/>
    </row>
    <row r="23" customFormat="false" ht="18" hidden="false" customHeight="true" outlineLevel="0" collapsed="false">
      <c r="A23" s="48" t="n">
        <v>17</v>
      </c>
      <c r="B23" s="34" t="s">
        <v>415</v>
      </c>
      <c r="C23" s="34" t="s">
        <v>397</v>
      </c>
      <c r="D23" s="48" t="s">
        <v>416</v>
      </c>
      <c r="E23" s="48"/>
      <c r="F23" s="48" t="str">
        <f aca="false">IF(E23="✓","✅ Completado","⏳ Pendiente")</f>
        <v>⏳ Pendiente</v>
      </c>
      <c r="G23" s="34"/>
    </row>
    <row r="24" customFormat="false" ht="18" hidden="false" customHeight="true" outlineLevel="0" collapsed="false">
      <c r="A24" s="50" t="n">
        <v>18</v>
      </c>
      <c r="B24" s="38" t="s">
        <v>417</v>
      </c>
      <c r="C24" s="38" t="s">
        <v>405</v>
      </c>
      <c r="D24" s="50" t="s">
        <v>416</v>
      </c>
      <c r="E24" s="50"/>
      <c r="F24" s="50" t="str">
        <f aca="false">IF(E24="✓","✅ Completado","⏳ Pendiente")</f>
        <v>⏳ Pendiente</v>
      </c>
      <c r="G24" s="38"/>
    </row>
    <row r="25" customFormat="false" ht="18" hidden="false" customHeight="true" outlineLevel="0" collapsed="false">
      <c r="A25" s="48" t="n">
        <v>19</v>
      </c>
      <c r="B25" s="34" t="s">
        <v>418</v>
      </c>
      <c r="C25" s="34" t="s">
        <v>397</v>
      </c>
      <c r="D25" s="48" t="s">
        <v>419</v>
      </c>
      <c r="E25" s="48"/>
      <c r="F25" s="48" t="str">
        <f aca="false">IF(E25="✓","✅ Completado","⏳ Pendiente")</f>
        <v>⏳ Pendiente</v>
      </c>
      <c r="G25" s="34"/>
    </row>
    <row r="26" customFormat="false" ht="18" hidden="false" customHeight="true" outlineLevel="0" collapsed="false">
      <c r="A26" s="50" t="n">
        <v>20</v>
      </c>
      <c r="B26" s="38" t="s">
        <v>420</v>
      </c>
      <c r="C26" s="38" t="s">
        <v>397</v>
      </c>
      <c r="D26" s="50" t="s">
        <v>419</v>
      </c>
      <c r="E26" s="50"/>
      <c r="F26" s="50" t="str">
        <f aca="false">IF(E26="✓","✅ Completado","⏳ Pendiente")</f>
        <v>⏳ Pendiente</v>
      </c>
      <c r="G26" s="38"/>
    </row>
    <row r="27" customFormat="false" ht="18" hidden="false" customHeight="true" outlineLevel="0" collapsed="false">
      <c r="A27" s="48" t="n">
        <v>21</v>
      </c>
      <c r="B27" s="34" t="s">
        <v>421</v>
      </c>
      <c r="C27" s="34" t="s">
        <v>397</v>
      </c>
      <c r="D27" s="48" t="s">
        <v>419</v>
      </c>
      <c r="E27" s="48"/>
      <c r="F27" s="48" t="str">
        <f aca="false">IF(E27="✓","✅ Completado","⏳ Pendiente")</f>
        <v>⏳ Pendiente</v>
      </c>
      <c r="G27" s="34"/>
    </row>
    <row r="28" customFormat="false" ht="18" hidden="false" customHeight="true" outlineLevel="0" collapsed="false">
      <c r="A28" s="50" t="n">
        <v>22</v>
      </c>
      <c r="B28" s="38" t="s">
        <v>422</v>
      </c>
      <c r="C28" s="38" t="s">
        <v>423</v>
      </c>
      <c r="D28" s="50" t="s">
        <v>419</v>
      </c>
      <c r="E28" s="50"/>
      <c r="F28" s="50" t="str">
        <f aca="false">IF(E28="✓","✅ Completado","⏳ Pendiente")</f>
        <v>⏳ Pendiente</v>
      </c>
      <c r="G28" s="38"/>
    </row>
    <row r="29" customFormat="false" ht="24" hidden="false" customHeight="true" outlineLevel="0" collapsed="false">
      <c r="A29" s="77" t="s">
        <v>424</v>
      </c>
      <c r="B29" s="77"/>
      <c r="C29" s="77"/>
      <c r="D29" s="77"/>
      <c r="E29" s="77"/>
      <c r="F29" s="77"/>
      <c r="G29" s="77"/>
    </row>
    <row r="30" customFormat="false" ht="18" hidden="false" customHeight="true" outlineLevel="0" collapsed="false">
      <c r="A30" s="48" t="n">
        <v>23</v>
      </c>
      <c r="B30" s="34" t="s">
        <v>425</v>
      </c>
      <c r="C30" s="34" t="s">
        <v>397</v>
      </c>
      <c r="D30" s="48" t="s">
        <v>426</v>
      </c>
      <c r="E30" s="48"/>
      <c r="F30" s="48" t="str">
        <f aca="false">IF(E30="✓","✅ Completado","⏳ Pendiente")</f>
        <v>⏳ Pendiente</v>
      </c>
      <c r="G30" s="34"/>
    </row>
    <row r="31" customFormat="false" ht="18" hidden="false" customHeight="true" outlineLevel="0" collapsed="false">
      <c r="A31" s="50" t="n">
        <v>24</v>
      </c>
      <c r="B31" s="38" t="s">
        <v>427</v>
      </c>
      <c r="C31" s="38" t="s">
        <v>428</v>
      </c>
      <c r="D31" s="50" t="s">
        <v>426</v>
      </c>
      <c r="E31" s="50"/>
      <c r="F31" s="50" t="str">
        <f aca="false">IF(E31="✓","✅ Completado","⏳ Pendiente")</f>
        <v>⏳ Pendiente</v>
      </c>
      <c r="G31" s="38"/>
    </row>
    <row r="32" customFormat="false" ht="18" hidden="false" customHeight="true" outlineLevel="0" collapsed="false">
      <c r="A32" s="48" t="n">
        <v>25</v>
      </c>
      <c r="B32" s="34" t="s">
        <v>429</v>
      </c>
      <c r="C32" s="34" t="s">
        <v>430</v>
      </c>
      <c r="D32" s="48" t="s">
        <v>426</v>
      </c>
      <c r="E32" s="48"/>
      <c r="F32" s="48" t="str">
        <f aca="false">IF(E32="✓","✅ Completado","⏳ Pendiente")</f>
        <v>⏳ Pendiente</v>
      </c>
      <c r="G32" s="34"/>
    </row>
    <row r="33" customFormat="false" ht="18" hidden="false" customHeight="true" outlineLevel="0" collapsed="false">
      <c r="A33" s="50" t="n">
        <v>26</v>
      </c>
      <c r="B33" s="38" t="s">
        <v>431</v>
      </c>
      <c r="C33" s="38" t="s">
        <v>397</v>
      </c>
      <c r="D33" s="50" t="s">
        <v>432</v>
      </c>
      <c r="E33" s="50"/>
      <c r="F33" s="50" t="str">
        <f aca="false">IF(E33="✓","✅ Completado","⏳ Pendiente")</f>
        <v>⏳ Pendiente</v>
      </c>
      <c r="G33" s="38"/>
    </row>
    <row r="34" customFormat="false" ht="18" hidden="false" customHeight="true" outlineLevel="0" collapsed="false">
      <c r="A34" s="48" t="n">
        <v>27</v>
      </c>
      <c r="B34" s="34" t="s">
        <v>433</v>
      </c>
      <c r="C34" s="34" t="s">
        <v>397</v>
      </c>
      <c r="D34" s="48" t="s">
        <v>434</v>
      </c>
      <c r="E34" s="48"/>
      <c r="F34" s="48" t="str">
        <f aca="false">IF(E34="✓","✅ Completado","⏳ Pendiente")</f>
        <v>⏳ Pendiente</v>
      </c>
      <c r="G34" s="34"/>
    </row>
    <row r="35" customFormat="false" ht="18" hidden="false" customHeight="true" outlineLevel="0" collapsed="false">
      <c r="A35" s="50" t="n">
        <v>28</v>
      </c>
      <c r="B35" s="38" t="s">
        <v>435</v>
      </c>
      <c r="C35" s="38" t="s">
        <v>436</v>
      </c>
      <c r="D35" s="50" t="s">
        <v>437</v>
      </c>
      <c r="E35" s="50"/>
      <c r="F35" s="50" t="str">
        <f aca="false">IF(E35="✓","✅ Completado","⏳ Pendiente")</f>
        <v>⏳ Pendiente</v>
      </c>
      <c r="G35" s="38"/>
    </row>
    <row r="36" customFormat="false" ht="18" hidden="false" customHeight="true" outlineLevel="0" collapsed="false">
      <c r="A36" s="48" t="n">
        <v>29</v>
      </c>
      <c r="B36" s="34" t="s">
        <v>438</v>
      </c>
      <c r="C36" s="34" t="s">
        <v>397</v>
      </c>
      <c r="D36" s="48" t="s">
        <v>439</v>
      </c>
      <c r="E36" s="48"/>
      <c r="F36" s="48" t="str">
        <f aca="false">IF(E36="✓","✅ Completado","⏳ Pendiente")</f>
        <v>⏳ Pendiente</v>
      </c>
      <c r="G36" s="34"/>
    </row>
    <row r="37" customFormat="false" ht="18" hidden="false" customHeight="true" outlineLevel="0" collapsed="false">
      <c r="A37" s="50" t="n">
        <v>30</v>
      </c>
      <c r="B37" s="38" t="s">
        <v>440</v>
      </c>
      <c r="C37" s="38" t="s">
        <v>441</v>
      </c>
      <c r="D37" s="50" t="s">
        <v>439</v>
      </c>
      <c r="E37" s="50"/>
      <c r="F37" s="50" t="str">
        <f aca="false">IF(E37="✓","✅ Completado","⏳ Pendiente")</f>
        <v>⏳ Pendiente</v>
      </c>
      <c r="G37" s="38"/>
    </row>
    <row r="38" customFormat="false" ht="18" hidden="false" customHeight="true" outlineLevel="0" collapsed="false">
      <c r="A38" s="48" t="n">
        <v>31</v>
      </c>
      <c r="B38" s="34" t="s">
        <v>442</v>
      </c>
      <c r="C38" s="34" t="s">
        <v>397</v>
      </c>
      <c r="D38" s="48" t="s">
        <v>443</v>
      </c>
      <c r="E38" s="48"/>
      <c r="F38" s="48" t="str">
        <f aca="false">IF(E38="✓","✅ Completado","⏳ Pendiente")</f>
        <v>⏳ Pendiente</v>
      </c>
      <c r="G38" s="34"/>
    </row>
    <row r="39" customFormat="false" ht="18" hidden="false" customHeight="true" outlineLevel="0" collapsed="false">
      <c r="A39" s="50" t="n">
        <v>32</v>
      </c>
      <c r="B39" s="38" t="s">
        <v>444</v>
      </c>
      <c r="C39" s="38" t="s">
        <v>445</v>
      </c>
      <c r="D39" s="50" t="s">
        <v>443</v>
      </c>
      <c r="E39" s="50"/>
      <c r="F39" s="50" t="str">
        <f aca="false">IF(E39="✓","✅ Completado","⏳ Pendiente")</f>
        <v>⏳ Pendiente</v>
      </c>
      <c r="G39" s="38"/>
    </row>
    <row r="40" customFormat="false" ht="24" hidden="false" customHeight="true" outlineLevel="0" collapsed="false">
      <c r="A40" s="77" t="s">
        <v>446</v>
      </c>
      <c r="B40" s="77"/>
      <c r="C40" s="77"/>
      <c r="D40" s="77"/>
      <c r="E40" s="77"/>
      <c r="F40" s="77"/>
      <c r="G40" s="77"/>
    </row>
    <row r="41" customFormat="false" ht="18" hidden="false" customHeight="true" outlineLevel="0" collapsed="false">
      <c r="A41" s="48" t="n">
        <v>33</v>
      </c>
      <c r="B41" s="34" t="s">
        <v>447</v>
      </c>
      <c r="C41" s="34" t="s">
        <v>397</v>
      </c>
      <c r="D41" s="48" t="s">
        <v>448</v>
      </c>
      <c r="E41" s="48"/>
      <c r="F41" s="48" t="str">
        <f aca="false">IF(E41="✓","✅ Completado","⏳ Pendiente")</f>
        <v>⏳ Pendiente</v>
      </c>
      <c r="G41" s="34"/>
    </row>
    <row r="42" customFormat="false" ht="18" hidden="false" customHeight="true" outlineLevel="0" collapsed="false">
      <c r="A42" s="50" t="n">
        <v>34</v>
      </c>
      <c r="B42" s="38" t="s">
        <v>449</v>
      </c>
      <c r="C42" s="38" t="s">
        <v>441</v>
      </c>
      <c r="D42" s="50" t="s">
        <v>448</v>
      </c>
      <c r="E42" s="50"/>
      <c r="F42" s="50" t="str">
        <f aca="false">IF(E42="✓","✅ Completado","⏳ Pendiente")</f>
        <v>⏳ Pendiente</v>
      </c>
      <c r="G42" s="38"/>
    </row>
    <row r="43" customFormat="false" ht="18" hidden="false" customHeight="true" outlineLevel="0" collapsed="false">
      <c r="A43" s="48" t="n">
        <v>35</v>
      </c>
      <c r="B43" s="34" t="s">
        <v>450</v>
      </c>
      <c r="C43" s="34" t="s">
        <v>397</v>
      </c>
      <c r="D43" s="48" t="s">
        <v>451</v>
      </c>
      <c r="E43" s="48"/>
      <c r="F43" s="48" t="str">
        <f aca="false">IF(E43="✓","✅ Completado","⏳ Pendiente")</f>
        <v>⏳ Pendiente</v>
      </c>
      <c r="G43" s="34"/>
    </row>
    <row r="44" customFormat="false" ht="18" hidden="false" customHeight="true" outlineLevel="0" collapsed="false">
      <c r="A44" s="50" t="n">
        <v>36</v>
      </c>
      <c r="B44" s="38" t="s">
        <v>452</v>
      </c>
      <c r="C44" s="38" t="s">
        <v>453</v>
      </c>
      <c r="D44" s="50" t="s">
        <v>451</v>
      </c>
      <c r="E44" s="50"/>
      <c r="F44" s="50" t="str">
        <f aca="false">IF(E44="✓","✅ Completado","⏳ Pendiente")</f>
        <v>⏳ Pendiente</v>
      </c>
      <c r="G44" s="38"/>
    </row>
    <row r="45" customFormat="false" ht="18" hidden="false" customHeight="true" outlineLevel="0" collapsed="false">
      <c r="A45" s="48" t="n">
        <v>37</v>
      </c>
      <c r="B45" s="34" t="s">
        <v>454</v>
      </c>
      <c r="C45" s="34" t="s">
        <v>445</v>
      </c>
      <c r="D45" s="48" t="s">
        <v>455</v>
      </c>
      <c r="E45" s="48"/>
      <c r="F45" s="48" t="str">
        <f aca="false">IF(E45="✓","✅ Completado","⏳ Pendiente")</f>
        <v>⏳ Pendiente</v>
      </c>
      <c r="G45" s="34"/>
    </row>
    <row r="46" customFormat="false" ht="18" hidden="false" customHeight="true" outlineLevel="0" collapsed="false">
      <c r="A46" s="50" t="n">
        <v>38</v>
      </c>
      <c r="B46" s="38" t="s">
        <v>456</v>
      </c>
      <c r="C46" s="38" t="s">
        <v>457</v>
      </c>
      <c r="D46" s="50" t="s">
        <v>458</v>
      </c>
      <c r="E46" s="50"/>
      <c r="F46" s="50" t="str">
        <f aca="false">IF(E46="✓","✅ Completado","⏳ Pendiente")</f>
        <v>⏳ Pendiente</v>
      </c>
      <c r="G46" s="38"/>
    </row>
    <row r="47" customFormat="false" ht="18" hidden="false" customHeight="true" outlineLevel="0" collapsed="false">
      <c r="A47" s="48" t="n">
        <v>39</v>
      </c>
      <c r="B47" s="34" t="s">
        <v>459</v>
      </c>
      <c r="C47" s="34" t="s">
        <v>460</v>
      </c>
      <c r="D47" s="48" t="s">
        <v>458</v>
      </c>
      <c r="E47" s="48"/>
      <c r="F47" s="48" t="str">
        <f aca="false">IF(E47="✓","✅ Completado","⏳ Pendiente")</f>
        <v>⏳ Pendiente</v>
      </c>
      <c r="G47" s="34"/>
    </row>
    <row r="48" customFormat="false" ht="18" hidden="false" customHeight="true" outlineLevel="0" collapsed="false">
      <c r="A48" s="50" t="n">
        <v>40</v>
      </c>
      <c r="B48" s="38" t="s">
        <v>461</v>
      </c>
      <c r="C48" s="38" t="s">
        <v>397</v>
      </c>
      <c r="D48" s="50" t="s">
        <v>462</v>
      </c>
      <c r="E48" s="50"/>
      <c r="F48" s="50" t="str">
        <f aca="false">IF(E48="✓","✅ Completado","⏳ Pendiente")</f>
        <v>⏳ Pendiente</v>
      </c>
      <c r="G48" s="38"/>
    </row>
    <row r="49" customFormat="false" ht="18" hidden="false" customHeight="true" outlineLevel="0" collapsed="false">
      <c r="A49" s="48" t="n">
        <v>41</v>
      </c>
      <c r="B49" s="34" t="s">
        <v>463</v>
      </c>
      <c r="C49" s="34" t="s">
        <v>397</v>
      </c>
      <c r="D49" s="48" t="s">
        <v>462</v>
      </c>
      <c r="E49" s="48"/>
      <c r="F49" s="48" t="str">
        <f aca="false">IF(E49="✓","✅ Completado","⏳ Pendiente")</f>
        <v>⏳ Pendiente</v>
      </c>
      <c r="G49" s="34"/>
    </row>
    <row r="50" customFormat="false" ht="18" hidden="false" customHeight="true" outlineLevel="0" collapsed="false">
      <c r="A50" s="50" t="n">
        <v>42</v>
      </c>
      <c r="B50" s="38" t="s">
        <v>464</v>
      </c>
      <c r="C50" s="38" t="s">
        <v>397</v>
      </c>
      <c r="D50" s="50" t="s">
        <v>465</v>
      </c>
      <c r="E50" s="50"/>
      <c r="F50" s="50" t="str">
        <f aca="false">IF(E50="✓","✅ Completado","⏳ Pendiente")</f>
        <v>⏳ Pendiente</v>
      </c>
      <c r="G50" s="38"/>
    </row>
    <row r="51" customFormat="false" ht="18" hidden="false" customHeight="true" outlineLevel="0" collapsed="false">
      <c r="A51" s="48" t="n">
        <v>43</v>
      </c>
      <c r="B51" s="34" t="s">
        <v>466</v>
      </c>
      <c r="C51" s="34" t="s">
        <v>467</v>
      </c>
      <c r="D51" s="48" t="s">
        <v>465</v>
      </c>
      <c r="E51" s="48"/>
      <c r="F51" s="48" t="str">
        <f aca="false">IF(E51="✓","✅ Completado","⏳ Pendiente")</f>
        <v>⏳ Pendiente</v>
      </c>
      <c r="G51" s="34"/>
    </row>
    <row r="52" customFormat="false" ht="18" hidden="false" customHeight="true" outlineLevel="0" collapsed="false">
      <c r="A52" s="50" t="n">
        <v>44</v>
      </c>
      <c r="B52" s="38" t="s">
        <v>468</v>
      </c>
      <c r="C52" s="38" t="s">
        <v>469</v>
      </c>
      <c r="D52" s="50" t="s">
        <v>465</v>
      </c>
      <c r="E52" s="50"/>
      <c r="F52" s="50" t="str">
        <f aca="false">IF(E52="✓","✅ Completado","⏳ Pendiente")</f>
        <v>⏳ Pendiente</v>
      </c>
      <c r="G52" s="38"/>
    </row>
  </sheetData>
  <mergeCells count="9">
    <mergeCell ref="A1:J1"/>
    <mergeCell ref="A2:J2"/>
    <mergeCell ref="A3:D3"/>
    <mergeCell ref="E3:F3"/>
    <mergeCell ref="G3:H3"/>
    <mergeCell ref="A5:G5"/>
    <mergeCell ref="A16:G16"/>
    <mergeCell ref="A29:G29"/>
    <mergeCell ref="A40:G40"/>
  </mergeCells>
  <dataValidations count="1">
    <dataValidation allowBlank="true" errorStyle="stop" operator="between" showDropDown="false" showErrorMessage="false" showInputMessage="false" sqref="E6:E15 E17:E28 E30:E39 E41:E52" type="list">
      <formula1>"✓,—,En proceso"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84C"/>
    <pageSetUpPr fitToPage="false"/>
  </sheetPr>
  <dimension ref="A1:J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3" min="3" style="1" width="16"/>
    <col collapsed="false" customWidth="true" hidden="false" outlineLevel="0" max="4" min="4" style="1" width="30"/>
    <col collapsed="false" customWidth="true" hidden="false" outlineLevel="0" max="5" min="5" style="1" width="4"/>
    <col collapsed="false" customWidth="true" hidden="false" outlineLevel="0" max="7" min="6" style="1" width="26"/>
    <col collapsed="false" customWidth="true" hidden="false" outlineLevel="0" max="10" min="8" style="1" width="4"/>
  </cols>
  <sheetData>
    <row r="1" customFormat="false" ht="30" hidden="false" customHeight="true" outlineLevel="0" collapsed="false">
      <c r="A1" s="30" t="s">
        <v>470</v>
      </c>
      <c r="B1" s="30"/>
      <c r="C1" s="30"/>
      <c r="D1" s="30"/>
      <c r="E1" s="30"/>
      <c r="F1" s="30"/>
      <c r="G1" s="30"/>
      <c r="H1" s="30"/>
      <c r="I1" s="30"/>
      <c r="J1" s="30"/>
    </row>
    <row r="2" customFormat="false" ht="18" hidden="false" customHeight="true" outlineLevel="0" collapsed="false">
      <c r="A2" s="31" t="s">
        <v>471</v>
      </c>
      <c r="B2" s="31"/>
      <c r="C2" s="31"/>
      <c r="D2" s="31"/>
      <c r="E2" s="31"/>
      <c r="F2" s="31"/>
      <c r="G2" s="31"/>
      <c r="H2" s="31"/>
      <c r="I2" s="31"/>
      <c r="J2" s="31"/>
    </row>
    <row r="3" customFormat="false" ht="24" hidden="false" customHeight="true" outlineLevel="0" collapsed="false">
      <c r="A3" s="44" t="s">
        <v>472</v>
      </c>
      <c r="B3" s="44"/>
      <c r="C3" s="44"/>
      <c r="D3" s="44"/>
      <c r="F3" s="81" t="s">
        <v>473</v>
      </c>
      <c r="G3" s="81"/>
      <c r="H3" s="81"/>
      <c r="I3" s="81"/>
      <c r="J3" s="81"/>
    </row>
    <row r="4" customFormat="false" ht="19.5" hidden="false" customHeight="true" outlineLevel="0" collapsed="false">
      <c r="A4" s="5" t="s">
        <v>6</v>
      </c>
      <c r="B4" s="82" t="s">
        <v>7</v>
      </c>
      <c r="C4" s="82"/>
      <c r="D4" s="82"/>
      <c r="F4" s="5" t="s">
        <v>474</v>
      </c>
      <c r="G4" s="82" t="s">
        <v>475</v>
      </c>
      <c r="H4" s="82"/>
      <c r="I4" s="82"/>
      <c r="J4" s="82"/>
    </row>
    <row r="5" customFormat="false" ht="19.5" hidden="false" customHeight="true" outlineLevel="0" collapsed="false">
      <c r="A5" s="5" t="s">
        <v>476</v>
      </c>
      <c r="B5" s="83" t="s">
        <v>477</v>
      </c>
      <c r="C5" s="83"/>
      <c r="D5" s="83"/>
      <c r="F5" s="5" t="s">
        <v>478</v>
      </c>
      <c r="G5" s="83" t="s">
        <v>479</v>
      </c>
      <c r="H5" s="83"/>
      <c r="I5" s="83"/>
      <c r="J5" s="83"/>
    </row>
    <row r="6" customFormat="false" ht="19.5" hidden="false" customHeight="true" outlineLevel="0" collapsed="false">
      <c r="A6" s="5" t="s">
        <v>480</v>
      </c>
      <c r="B6" s="82" t="s">
        <v>481</v>
      </c>
      <c r="C6" s="82"/>
      <c r="D6" s="82"/>
      <c r="F6" s="5" t="s">
        <v>482</v>
      </c>
      <c r="G6" s="82" t="s">
        <v>483</v>
      </c>
      <c r="H6" s="82"/>
      <c r="I6" s="82"/>
      <c r="J6" s="82"/>
    </row>
    <row r="7" customFormat="false" ht="19.5" hidden="false" customHeight="true" outlineLevel="0" collapsed="false">
      <c r="A7" s="5" t="s">
        <v>12</v>
      </c>
      <c r="B7" s="83" t="s">
        <v>484</v>
      </c>
      <c r="C7" s="83"/>
      <c r="D7" s="83"/>
      <c r="F7" s="5" t="s">
        <v>485</v>
      </c>
      <c r="G7" s="83" t="s">
        <v>486</v>
      </c>
      <c r="H7" s="83"/>
      <c r="I7" s="83"/>
      <c r="J7" s="83"/>
    </row>
    <row r="8" customFormat="false" ht="19.5" hidden="false" customHeight="true" outlineLevel="0" collapsed="false">
      <c r="A8" s="5" t="s">
        <v>487</v>
      </c>
      <c r="B8" s="82" t="s">
        <v>488</v>
      </c>
      <c r="C8" s="82"/>
      <c r="D8" s="82"/>
      <c r="F8" s="5" t="s">
        <v>489</v>
      </c>
      <c r="G8" s="82" t="s">
        <v>490</v>
      </c>
      <c r="H8" s="82"/>
      <c r="I8" s="82"/>
      <c r="J8" s="82"/>
    </row>
    <row r="9" customFormat="false" ht="19.5" hidden="false" customHeight="true" outlineLevel="0" collapsed="false">
      <c r="A9" s="5" t="s">
        <v>491</v>
      </c>
      <c r="B9" s="83" t="s">
        <v>492</v>
      </c>
      <c r="C9" s="83"/>
      <c r="D9" s="83"/>
      <c r="F9" s="5" t="s">
        <v>493</v>
      </c>
      <c r="G9" s="83" t="s">
        <v>494</v>
      </c>
      <c r="H9" s="83"/>
      <c r="I9" s="83"/>
      <c r="J9" s="83"/>
    </row>
    <row r="10" customFormat="false" ht="19.5" hidden="false" customHeight="true" outlineLevel="0" collapsed="false">
      <c r="A10" s="5" t="s">
        <v>495</v>
      </c>
      <c r="B10" s="82" t="s">
        <v>496</v>
      </c>
      <c r="C10" s="82"/>
      <c r="D10" s="82"/>
      <c r="F10" s="5" t="s">
        <v>497</v>
      </c>
      <c r="G10" s="82" t="s">
        <v>498</v>
      </c>
      <c r="H10" s="82"/>
      <c r="I10" s="82"/>
      <c r="J10" s="82"/>
    </row>
    <row r="11" customFormat="false" ht="19.5" hidden="false" customHeight="true" outlineLevel="0" collapsed="false">
      <c r="A11" s="5" t="s">
        <v>499</v>
      </c>
      <c r="B11" s="83" t="s">
        <v>500</v>
      </c>
      <c r="C11" s="83"/>
      <c r="D11" s="83"/>
      <c r="F11" s="5" t="s">
        <v>501</v>
      </c>
      <c r="G11" s="83" t="s">
        <v>502</v>
      </c>
      <c r="H11" s="83"/>
      <c r="I11" s="83"/>
      <c r="J11" s="83"/>
    </row>
    <row r="12" customFormat="false" ht="19.5" hidden="false" customHeight="true" outlineLevel="0" collapsed="false">
      <c r="F12" s="5" t="s">
        <v>503</v>
      </c>
      <c r="G12" s="82" t="s">
        <v>504</v>
      </c>
      <c r="H12" s="82"/>
      <c r="I12" s="82"/>
      <c r="J12" s="82"/>
    </row>
    <row r="13" customFormat="false" ht="19.5" hidden="false" customHeight="true" outlineLevel="0" collapsed="false">
      <c r="A13" s="84" t="s">
        <v>505</v>
      </c>
      <c r="B13" s="84"/>
      <c r="C13" s="84"/>
      <c r="D13" s="84"/>
      <c r="F13" s="5" t="s">
        <v>506</v>
      </c>
      <c r="G13" s="83" t="s">
        <v>507</v>
      </c>
      <c r="H13" s="83"/>
      <c r="I13" s="83"/>
      <c r="J13" s="83"/>
    </row>
    <row r="14" customFormat="false" ht="15" hidden="false" customHeight="true" outlineLevel="0" collapsed="false">
      <c r="A14" s="32" t="s">
        <v>508</v>
      </c>
      <c r="B14" s="32" t="s">
        <v>509</v>
      </c>
      <c r="C14" s="32" t="s">
        <v>510</v>
      </c>
      <c r="D14" s="32" t="s">
        <v>511</v>
      </c>
    </row>
    <row r="15" customFormat="false" ht="21.75" hidden="false" customHeight="true" outlineLevel="0" collapsed="false">
      <c r="A15" s="85" t="s">
        <v>512</v>
      </c>
      <c r="B15" s="86" t="s">
        <v>513</v>
      </c>
      <c r="C15" s="87" t="s">
        <v>514</v>
      </c>
      <c r="D15" s="87" t="s">
        <v>515</v>
      </c>
    </row>
    <row r="16" customFormat="false" ht="21.75" hidden="false" customHeight="true" outlineLevel="0" collapsed="false">
      <c r="A16" s="88" t="s">
        <v>512</v>
      </c>
      <c r="B16" s="89" t="s">
        <v>516</v>
      </c>
      <c r="C16" s="90" t="s">
        <v>517</v>
      </c>
      <c r="D16" s="90" t="s">
        <v>518</v>
      </c>
    </row>
    <row r="17" customFormat="false" ht="21.75" hidden="false" customHeight="true" outlineLevel="0" collapsed="false">
      <c r="A17" s="91" t="s">
        <v>512</v>
      </c>
      <c r="B17" s="86" t="s">
        <v>519</v>
      </c>
      <c r="C17" s="87" t="s">
        <v>520</v>
      </c>
      <c r="D17" s="87" t="s">
        <v>521</v>
      </c>
    </row>
    <row r="18" customFormat="false" ht="21.75" hidden="false" customHeight="true" outlineLevel="0" collapsed="false">
      <c r="A18" s="92" t="s">
        <v>512</v>
      </c>
      <c r="B18" s="89" t="s">
        <v>522</v>
      </c>
      <c r="C18" s="90" t="s">
        <v>523</v>
      </c>
      <c r="D18" s="90" t="s">
        <v>524</v>
      </c>
    </row>
    <row r="19" customFormat="false" ht="21.75" hidden="false" customHeight="true" outlineLevel="0" collapsed="false">
      <c r="A19" s="93" t="s">
        <v>512</v>
      </c>
      <c r="B19" s="86" t="s">
        <v>525</v>
      </c>
      <c r="C19" s="87" t="s">
        <v>526</v>
      </c>
      <c r="D19" s="87" t="s">
        <v>527</v>
      </c>
    </row>
    <row r="21" customFormat="false" ht="24" hidden="false" customHeight="true" outlineLevel="0" collapsed="false">
      <c r="A21" s="42" t="s">
        <v>528</v>
      </c>
      <c r="B21" s="42"/>
      <c r="C21" s="42"/>
      <c r="D21" s="42"/>
    </row>
    <row r="22" customFormat="false" ht="15" hidden="false" customHeight="true" outlineLevel="0" collapsed="false">
      <c r="A22" s="46" t="s">
        <v>529</v>
      </c>
      <c r="B22" s="46" t="s">
        <v>530</v>
      </c>
      <c r="C22" s="46" t="s">
        <v>38</v>
      </c>
    </row>
    <row r="23" customFormat="false" ht="18" hidden="false" customHeight="true" outlineLevel="0" collapsed="false">
      <c r="A23" s="87" t="s">
        <v>531</v>
      </c>
      <c r="B23" s="94" t="s">
        <v>532</v>
      </c>
      <c r="C23" s="87" t="s">
        <v>533</v>
      </c>
    </row>
    <row r="24" customFormat="false" ht="18" hidden="false" customHeight="true" outlineLevel="0" collapsed="false">
      <c r="A24" s="90" t="s">
        <v>534</v>
      </c>
      <c r="B24" s="95" t="s">
        <v>535</v>
      </c>
      <c r="C24" s="90" t="s">
        <v>536</v>
      </c>
    </row>
    <row r="25" customFormat="false" ht="18" hidden="false" customHeight="true" outlineLevel="0" collapsed="false">
      <c r="A25" s="87" t="s">
        <v>537</v>
      </c>
      <c r="B25" s="94" t="s">
        <v>538</v>
      </c>
      <c r="C25" s="87" t="s">
        <v>539</v>
      </c>
    </row>
    <row r="26" customFormat="false" ht="18" hidden="false" customHeight="true" outlineLevel="0" collapsed="false">
      <c r="A26" s="90" t="s">
        <v>540</v>
      </c>
      <c r="B26" s="95" t="s">
        <v>541</v>
      </c>
      <c r="C26" s="90" t="s">
        <v>542</v>
      </c>
    </row>
    <row r="27" customFormat="false" ht="18" hidden="false" customHeight="true" outlineLevel="0" collapsed="false">
      <c r="A27" s="87" t="s">
        <v>543</v>
      </c>
      <c r="B27" s="94" t="s">
        <v>544</v>
      </c>
      <c r="C27" s="87" t="s">
        <v>545</v>
      </c>
    </row>
  </sheetData>
  <mergeCells count="24">
    <mergeCell ref="A1:J1"/>
    <mergeCell ref="A2:J2"/>
    <mergeCell ref="A3:D3"/>
    <mergeCell ref="F3:J3"/>
    <mergeCell ref="B4:D4"/>
    <mergeCell ref="G4:J4"/>
    <mergeCell ref="B5:D5"/>
    <mergeCell ref="G5:J5"/>
    <mergeCell ref="B6:D6"/>
    <mergeCell ref="G6:J6"/>
    <mergeCell ref="B7:D7"/>
    <mergeCell ref="G7:J7"/>
    <mergeCell ref="B8:D8"/>
    <mergeCell ref="G8:J8"/>
    <mergeCell ref="B9:D9"/>
    <mergeCell ref="G9:J9"/>
    <mergeCell ref="B10:D10"/>
    <mergeCell ref="G10:J10"/>
    <mergeCell ref="B11:D11"/>
    <mergeCell ref="G11:J11"/>
    <mergeCell ref="G12:J12"/>
    <mergeCell ref="A13:D13"/>
    <mergeCell ref="G13:J13"/>
    <mergeCell ref="A21:D21"/>
  </mergeCells>
  <dataValidations count="2">
    <dataValidation allowBlank="true" errorStyle="stop" operator="between" showDropDown="false" showErrorMessage="false" showInputMessage="false" sqref="B4" type="list">
      <formula1>"Boda,XV Años,Aniversario,Corporativo,Cumpleaños,Graduación,Baby Shower"</formula1>
      <formula2>0</formula2>
    </dataValidation>
    <dataValidation allowBlank="true" errorStyle="stop" operator="between" showDropDown="false" showErrorMessage="false" showInputMessage="false" sqref="B5" type="list">
      <formula1>"Elegante,Boho Chic,Jardín,Rústico,Moderno,Mexicano Tradicional,Minimalista,Art Deco"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53935"/>
    <pageSetUpPr fitToPage="false"/>
  </sheetPr>
  <dimension ref="A1:J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2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22"/>
  </cols>
  <sheetData>
    <row r="1" customFormat="false" ht="30" hidden="false" customHeight="true" outlineLevel="0" collapsed="false">
      <c r="A1" s="96" t="s">
        <v>546</v>
      </c>
      <c r="B1" s="96"/>
      <c r="C1" s="96"/>
      <c r="D1" s="96"/>
      <c r="E1" s="96"/>
      <c r="F1" s="96"/>
      <c r="G1" s="96"/>
      <c r="H1" s="96"/>
      <c r="I1" s="96"/>
      <c r="J1" s="96"/>
    </row>
    <row r="2" customFormat="false" ht="18" hidden="false" customHeight="true" outlineLevel="0" collapsed="false">
      <c r="A2" s="31" t="s">
        <v>547</v>
      </c>
      <c r="B2" s="31"/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true" outlineLevel="0" collapsed="false">
      <c r="A3" s="97" t="s">
        <v>548</v>
      </c>
      <c r="B3" s="97"/>
      <c r="C3" s="97"/>
      <c r="D3" s="97"/>
      <c r="E3" s="97"/>
      <c r="F3" s="97"/>
    </row>
    <row r="4" customFormat="false" ht="15" hidden="false" customHeight="true" outlineLevel="0" collapsed="false">
      <c r="A4" s="32" t="s">
        <v>30</v>
      </c>
      <c r="B4" s="32" t="s">
        <v>111</v>
      </c>
      <c r="C4" s="32" t="s">
        <v>33</v>
      </c>
      <c r="D4" s="32" t="s">
        <v>549</v>
      </c>
      <c r="E4" s="32" t="s">
        <v>550</v>
      </c>
      <c r="F4" s="32" t="s">
        <v>38</v>
      </c>
    </row>
    <row r="5" customFormat="false" ht="15" hidden="false" customHeight="true" outlineLevel="0" collapsed="false">
      <c r="A5" s="98" t="s">
        <v>551</v>
      </c>
      <c r="B5" s="98"/>
      <c r="C5" s="98"/>
      <c r="D5" s="98"/>
      <c r="E5" s="98"/>
      <c r="F5" s="98"/>
    </row>
    <row r="7" customFormat="false" ht="24" hidden="false" customHeight="true" outlineLevel="0" collapsed="false">
      <c r="A7" s="99" t="s">
        <v>552</v>
      </c>
      <c r="B7" s="99"/>
      <c r="C7" s="100"/>
      <c r="D7" s="100"/>
      <c r="E7" s="100"/>
      <c r="F7" s="100"/>
    </row>
    <row r="8" customFormat="false" ht="21.75" hidden="false" customHeight="true" outlineLevel="0" collapsed="false">
      <c r="A8" s="22" t="s">
        <v>553</v>
      </c>
      <c r="C8" s="101" t="n">
        <f aca="false">IFERROR('📦 Catálogo'!E115,0)</f>
        <v>0</v>
      </c>
      <c r="D8" s="101"/>
      <c r="E8" s="101"/>
      <c r="F8" s="101"/>
    </row>
    <row r="9" customFormat="false" ht="21.75" hidden="false" customHeight="true" outlineLevel="0" collapsed="false">
      <c r="A9" s="25" t="s">
        <v>549</v>
      </c>
      <c r="C9" s="102" t="n">
        <f aca="false">C8*0.16</f>
        <v>0</v>
      </c>
      <c r="D9" s="102"/>
      <c r="E9" s="102"/>
      <c r="F9" s="102"/>
    </row>
    <row r="10" customFormat="false" ht="21.75" hidden="false" customHeight="true" outlineLevel="0" collapsed="false">
      <c r="A10" s="103" t="s">
        <v>554</v>
      </c>
      <c r="C10" s="104" t="n">
        <f aca="false">C8+C9</f>
        <v>0</v>
      </c>
      <c r="D10" s="104"/>
      <c r="E10" s="104"/>
      <c r="F10" s="104"/>
    </row>
    <row r="11" customFormat="false" ht="21.75" hidden="false" customHeight="true" outlineLevel="0" collapsed="false">
      <c r="A11" s="25" t="s">
        <v>555</v>
      </c>
      <c r="C11" s="102" t="n">
        <f aca="false">'📊 Dashboard'!B10</f>
        <v>180000</v>
      </c>
      <c r="D11" s="102"/>
      <c r="E11" s="102"/>
      <c r="F11" s="102"/>
    </row>
    <row r="12" customFormat="false" ht="21.75" hidden="false" customHeight="true" outlineLevel="0" collapsed="false">
      <c r="A12" s="103" t="s">
        <v>556</v>
      </c>
      <c r="C12" s="105" t="n">
        <f aca="false">C11-C10</f>
        <v>180000</v>
      </c>
      <c r="D12" s="105"/>
      <c r="E12" s="105"/>
      <c r="F12" s="105"/>
    </row>
    <row r="14" customFormat="false" ht="27.75" hidden="false" customHeight="true" outlineLevel="0" collapsed="false">
      <c r="A14" s="84" t="s">
        <v>557</v>
      </c>
      <c r="B14" s="84"/>
      <c r="C14" s="84"/>
      <c r="D14" s="84"/>
      <c r="E14" s="84"/>
      <c r="F14" s="84"/>
    </row>
  </sheetData>
  <mergeCells count="12">
    <mergeCell ref="A1:J1"/>
    <mergeCell ref="A2:J2"/>
    <mergeCell ref="A3:F3"/>
    <mergeCell ref="A5:F5"/>
    <mergeCell ref="A7:B7"/>
    <mergeCell ref="C7:F7"/>
    <mergeCell ref="C8:F8"/>
    <mergeCell ref="C9:F9"/>
    <mergeCell ref="C10:F10"/>
    <mergeCell ref="C11:F11"/>
    <mergeCell ref="C12:F12"/>
    <mergeCell ref="A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2026-04-12T01:15:29Z</dcterms:created>
  <dc:creator>openpyxl</dc:creator>
  <dc:description/>
  <dc:language>en-US</dc:language>
  <cp:lastModifiedBy/>
  <dcterms:modified xsi:type="dcterms:W3CDTF">2026-04-12T01:16:10Z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